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ilm Nutthanun\Desktop\"/>
    </mc:Choice>
  </mc:AlternateContent>
  <xr:revisionPtr revIDLastSave="0" documentId="8_{B3928941-89CA-47DA-9E20-7CD9E54C4A24}" xr6:coauthVersionLast="47" xr6:coauthVersionMax="47" xr10:uidLastSave="{00000000-0000-0000-0000-000000000000}"/>
  <bookViews>
    <workbookView xWindow="28680" yWindow="-120" windowWidth="38640" windowHeight="15720" tabRatio="500" xr2:uid="{00000000-000D-0000-FFFF-FFFF00000000}"/>
  </bookViews>
  <sheets>
    <sheet name="PCSR F.4" sheetId="1" r:id="rId1"/>
  </sheets>
  <definedNames>
    <definedName name="_xlnm.Print_Area" localSheetId="0">'PCSR F.4'!$B$2:$W$83</definedName>
  </definedNames>
  <calcPr calcId="191029"/>
</workbook>
</file>

<file path=xl/calcChain.xml><?xml version="1.0" encoding="utf-8"?>
<calcChain xmlns="http://schemas.openxmlformats.org/spreadsheetml/2006/main">
  <c r="Q60" i="1" l="1"/>
  <c r="S56" i="1"/>
  <c r="S48" i="1"/>
  <c r="P37" i="1"/>
  <c r="P25" i="1"/>
  <c r="Q22" i="1"/>
  <c r="Q62" i="1" l="1"/>
  <c r="E64" i="1"/>
</calcChain>
</file>

<file path=xl/sharedStrings.xml><?xml version="1.0" encoding="utf-8"?>
<sst xmlns="http://schemas.openxmlformats.org/spreadsheetml/2006/main" count="126" uniqueCount="98">
  <si>
    <r>
      <rPr>
        <b/>
        <sz val="18"/>
        <rFont val="Cordia New"/>
        <family val="2"/>
        <charset val="222"/>
      </rPr>
      <t xml:space="preserve">ใบรายงานการแก้ไขและป้องกันเพื่อซ่อม,ผลิต (FORM 4)
</t>
    </r>
    <r>
      <rPr>
        <sz val="12"/>
        <rFont val="Cordia New"/>
        <family val="2"/>
        <charset val="222"/>
      </rPr>
      <t>MAINTENANCE CORRECTIVE AND PREVENTIVE ACTION REPORT (P-CAR 4)</t>
    </r>
  </si>
  <si>
    <t>ผู้ปฏิบัติ</t>
  </si>
  <si>
    <t>เวลา</t>
  </si>
  <si>
    <t>วิศวกรรม</t>
  </si>
  <si>
    <r>
      <rPr>
        <sz val="14"/>
        <rFont val="Wingdings"/>
        <charset val="2"/>
      </rPr>
      <t>r</t>
    </r>
    <r>
      <rPr>
        <sz val="14"/>
        <rFont val="Cordia New"/>
        <family val="2"/>
        <charset val="222"/>
      </rPr>
      <t xml:space="preserve"> BM    </t>
    </r>
    <r>
      <rPr>
        <sz val="14"/>
        <rFont val="Wingdings"/>
        <charset val="2"/>
      </rPr>
      <t>r</t>
    </r>
    <r>
      <rPr>
        <sz val="14"/>
        <rFont val="Cordia New"/>
        <family val="2"/>
        <charset val="222"/>
      </rPr>
      <t xml:space="preserve"> CM      </t>
    </r>
    <r>
      <rPr>
        <sz val="14"/>
        <rFont val="Wingdings"/>
        <charset val="2"/>
      </rPr>
      <t>r</t>
    </r>
    <r>
      <rPr>
        <sz val="14"/>
        <rFont val="Cordia New"/>
        <family val="2"/>
        <charset val="222"/>
      </rPr>
      <t xml:space="preserve"> KM  
</t>
    </r>
  </si>
  <si>
    <r>
      <rPr>
        <b/>
        <sz val="12"/>
        <rFont val="Cordia New"/>
        <family val="2"/>
      </rPr>
      <t>สถานภาพ
การแจ้งซ่อม</t>
    </r>
    <r>
      <rPr>
        <b/>
        <sz val="12"/>
        <rFont val="Cordia New"/>
        <family val="2"/>
        <charset val="222"/>
      </rPr>
      <t>,</t>
    </r>
    <r>
      <rPr>
        <b/>
        <sz val="12"/>
        <rFont val="Cordia New"/>
        <family val="2"/>
      </rPr>
      <t>ผลิต
ครบถ้วน</t>
    </r>
  </si>
  <si>
    <r>
      <rPr>
        <b/>
        <sz val="12"/>
        <rFont val="Cordia New"/>
        <family val="2"/>
      </rPr>
      <t xml:space="preserve">หน่วยงาน  </t>
    </r>
    <r>
      <rPr>
        <b/>
        <sz val="12"/>
        <rFont val="Cordia New"/>
        <family val="2"/>
        <charset val="222"/>
      </rPr>
      <t>:</t>
    </r>
  </si>
  <si>
    <t>ผู้พบปัญหา</t>
  </si>
  <si>
    <t>T 1</t>
  </si>
  <si>
    <r>
      <rPr>
        <b/>
        <sz val="12"/>
        <rFont val="Cordia New"/>
        <family val="2"/>
      </rPr>
      <t xml:space="preserve">ชื่อผู้แจ้ง  </t>
    </r>
    <r>
      <rPr>
        <b/>
        <sz val="12"/>
        <rFont val="Cordia New"/>
        <family val="2"/>
        <charset val="222"/>
      </rPr>
      <t>:</t>
    </r>
  </si>
  <si>
    <r>
      <rPr>
        <b/>
        <sz val="12"/>
        <rFont val="Cordia New"/>
        <family val="2"/>
      </rPr>
      <t xml:space="preserve">ชื่อผู้ใช้งาน  </t>
    </r>
    <r>
      <rPr>
        <b/>
        <sz val="12"/>
        <rFont val="Cordia New"/>
        <family val="2"/>
        <charset val="222"/>
      </rPr>
      <t>:</t>
    </r>
  </si>
  <si>
    <r>
      <rPr>
        <b/>
        <sz val="12"/>
        <rFont val="Cordia New"/>
        <family val="2"/>
      </rPr>
      <t xml:space="preserve">ชื่อเครื่อง  </t>
    </r>
    <r>
      <rPr>
        <b/>
        <sz val="12"/>
        <rFont val="Cordia New"/>
        <family val="2"/>
        <charset val="222"/>
      </rPr>
      <t>:</t>
    </r>
  </si>
  <si>
    <r>
      <rPr>
        <b/>
        <sz val="12"/>
        <rFont val="Cordia New"/>
        <family val="2"/>
      </rPr>
      <t xml:space="preserve">รหัสเครื่อง  </t>
    </r>
    <r>
      <rPr>
        <b/>
        <sz val="12"/>
        <rFont val="Cordia New"/>
        <family val="2"/>
        <charset val="222"/>
      </rPr>
      <t>:</t>
    </r>
  </si>
  <si>
    <t>รายงาน
สถานภาพ
ของสิ่งผิดปกติ
อย่างละเอียด</t>
  </si>
  <si>
    <t>ภาพประกอบ</t>
  </si>
  <si>
    <t>( ผู้ขออุนุมัติการซ่อม,ผลิต )</t>
  </si>
  <si>
    <t>รอช่าง</t>
  </si>
  <si>
    <t>T2</t>
  </si>
  <si>
    <t>ร่วมวิเคราะห์
หาสาเหตุ</t>
  </si>
  <si>
    <t>การวิเคราะห์หาสาเหตุ</t>
  </si>
  <si>
    <t>T 3</t>
  </si>
  <si>
    <t>ทำไม 1 :</t>
  </si>
  <si>
    <t>ทำไม 2 :</t>
  </si>
  <si>
    <t>ทำไม 3 :</t>
  </si>
  <si>
    <r>
      <rPr>
        <b/>
        <sz val="12"/>
        <rFont val="Cordia New"/>
        <family val="2"/>
      </rPr>
      <t xml:space="preserve">สาเหตุรากเหง้า </t>
    </r>
    <r>
      <rPr>
        <b/>
        <sz val="12"/>
        <rFont val="Cordia New"/>
        <family val="2"/>
        <charset val="222"/>
      </rPr>
      <t>:</t>
    </r>
  </si>
  <si>
    <r>
      <rPr>
        <b/>
        <sz val="12"/>
        <rFont val="Cordia New"/>
        <family val="2"/>
      </rPr>
      <t xml:space="preserve">ผู้ปฎิบัติงาน </t>
    </r>
    <r>
      <rPr>
        <b/>
        <sz val="12"/>
        <rFont val="Cordia New"/>
        <family val="2"/>
        <charset val="222"/>
      </rPr>
      <t>: 1.</t>
    </r>
  </si>
  <si>
    <t>หน่วยงาน</t>
  </si>
  <si>
    <t>2.</t>
  </si>
  <si>
    <t>ลงรายการ
วัสดุ/อะไหล่
ให้ครบถ้วน
100 %</t>
  </si>
  <si>
    <t>T 4</t>
  </si>
  <si>
    <t>ลำดับ</t>
  </si>
  <si>
    <t>รายการวัสดุที่ใช้</t>
  </si>
  <si>
    <t>เลขที่ใบเบิก</t>
  </si>
  <si>
    <t>ซื้อจากบริษัท</t>
  </si>
  <si>
    <t>ราคา</t>
  </si>
  <si>
    <t>จำนวนเงิน</t>
  </si>
  <si>
    <t>หมายเหตุ</t>
  </si>
  <si>
    <t>เลขที่ใบขอซื้อ</t>
  </si>
  <si>
    <t>ต่อหน่วย</t>
  </si>
  <si>
    <t>ยอดเงินรวม</t>
  </si>
  <si>
    <t>ดำเนินการ
แก้ไข</t>
  </si>
  <si>
    <t>T 5</t>
  </si>
  <si>
    <t>ทดสอบและส่งมอบงาน</t>
  </si>
  <si>
    <t xml:space="preserve"> </t>
  </si>
  <si>
    <t>ผู้ใช้งาน</t>
  </si>
  <si>
    <t>T 6</t>
  </si>
  <si>
    <t>ปิดใบงาน</t>
  </si>
  <si>
    <t>หน.แผนก</t>
  </si>
  <si>
    <r>
      <rPr>
        <sz val="12"/>
        <rFont val="Cordia New"/>
        <family val="2"/>
        <charset val="222"/>
      </rPr>
      <t xml:space="preserve">T </t>
    </r>
    <r>
      <rPr>
        <sz val="12"/>
        <rFont val="Cordia New"/>
        <family val="2"/>
      </rPr>
      <t>รวม</t>
    </r>
  </si>
  <si>
    <t>ดำเนินการ
ป้องกัน</t>
  </si>
  <si>
    <t>มาตรการป้องกัน</t>
  </si>
  <si>
    <t>กำหนดเสร็จ</t>
  </si>
  <si>
    <t>ผู้รับผิดชอบ</t>
  </si>
  <si>
    <t>ฝ่ายวิศวกรรม สนับสนุน</t>
  </si>
  <si>
    <t>เฉพาะกรณี</t>
  </si>
  <si>
    <t>ทั้งระบบ</t>
  </si>
  <si>
    <r>
      <rPr>
        <b/>
        <sz val="12"/>
        <rFont val="Cordia New"/>
        <family val="2"/>
      </rPr>
      <t>สรุปปัญหา</t>
    </r>
    <r>
      <rPr>
        <b/>
        <sz val="12"/>
        <rFont val="Cordia New"/>
        <family val="2"/>
        <charset val="222"/>
      </rPr>
      <t>/</t>
    </r>
    <r>
      <rPr>
        <b/>
        <sz val="12"/>
        <rFont val="Cordia New"/>
        <family val="2"/>
      </rPr>
      <t>สาเหตุเกิดจาก</t>
    </r>
  </si>
  <si>
    <t>ปิดมาตรการป้องกัน</t>
  </si>
  <si>
    <t xml:space="preserve">  ลงชื่อ……………………………....……………… ผจก.ฝ่ายที่รับผิดชอบ
วันที่ ......../……../………..</t>
  </si>
  <si>
    <t xml:space="preserve">  ลงชื่อ………………………….…..……………… Asst. QMR/QMR  
วันที่ ......../……../………..</t>
  </si>
  <si>
    <t>QMR</t>
  </si>
  <si>
    <t>รวม</t>
  </si>
  <si>
    <t>P-CAR No.</t>
  </si>
  <si>
    <t>เวลา :</t>
  </si>
  <si>
    <t>( ผู้รับแจ้ง : ฝ่ายวิศวกรรม/ฝ่ายINS )</t>
  </si>
  <si>
    <t xml:space="preserve">  </t>
  </si>
  <si>
    <t>ลงชื่อ</t>
  </si>
  <si>
    <t>น.</t>
  </si>
  <si>
    <t>เวลาเริ่มหยุดจนถึงแจ้งซ่อม</t>
  </si>
  <si>
    <t>นาที ( T1 )</t>
  </si>
  <si>
    <t>ช่างซ่อมถึงหน้างานวันที่</t>
  </si>
  <si>
    <t>นาที ( T2 )</t>
  </si>
  <si>
    <t>เสร็จวันที่</t>
  </si>
  <si>
    <r>
      <t>รายละเอียดค่าใช้จ่ายการซ่อม</t>
    </r>
    <r>
      <rPr>
        <sz val="12"/>
        <rFont val="Cordia New"/>
        <family val="2"/>
        <charset val="222"/>
      </rPr>
      <t>,</t>
    </r>
    <r>
      <rPr>
        <sz val="12"/>
        <rFont val="Cordia New"/>
        <family val="2"/>
      </rPr>
      <t xml:space="preserve">วัสดุ </t>
    </r>
    <r>
      <rPr>
        <sz val="12"/>
        <rFont val="Cordia New"/>
        <family val="2"/>
        <charset val="222"/>
      </rPr>
      <t xml:space="preserve">/ </t>
    </r>
    <r>
      <rPr>
        <sz val="12"/>
        <rFont val="Cordia New"/>
        <family val="2"/>
      </rPr>
      <t xml:space="preserve">อะไหล่ที่ใช้ </t>
    </r>
  </si>
  <si>
    <t>น.     รอเวลาวิเคราะห์</t>
  </si>
  <si>
    <t>นาที ( T3 )</t>
  </si>
  <si>
    <t>เริ่มวันที่</t>
  </si>
  <si>
    <t>นาที ( T4 )</t>
  </si>
  <si>
    <t>ผู้ส่งมอบงาน</t>
  </si>
  <si>
    <t>ผู้รับงาน</t>
  </si>
  <si>
    <t>เริ่มซ่อมวันที่</t>
  </si>
  <si>
    <t>นาที ( T5 )</t>
  </si>
  <si>
    <t>น.     เวลารออะไหล่รวม</t>
  </si>
  <si>
    <t>น.                 เวลารวม</t>
  </si>
  <si>
    <t>ตรวจรับวันที่</t>
  </si>
  <si>
    <t>เวลาในการทดสอบ</t>
  </si>
  <si>
    <t>นาที ( T6 )</t>
  </si>
  <si>
    <r>
      <t xml:space="preserve">เวลารวม  </t>
    </r>
    <r>
      <rPr>
        <sz val="12"/>
        <rFont val="Cordia New"/>
        <family val="2"/>
        <charset val="222"/>
      </rPr>
      <t xml:space="preserve">(T1+T2+T3+T4+T5+T6 )  =  </t>
    </r>
  </si>
  <si>
    <t>นาที</t>
  </si>
  <si>
    <t>ผู้จัดการแผนก ซ่อม/สร้าง (BM)</t>
  </si>
  <si>
    <t>วันที่</t>
  </si>
  <si>
    <t>หัวข้อปัญหา :</t>
  </si>
  <si>
    <r>
      <t>การแก้ไข</t>
    </r>
    <r>
      <rPr>
        <b/>
        <sz val="12"/>
        <rFont val="Cordia New"/>
        <family val="2"/>
        <charset val="222"/>
      </rPr>
      <t>/</t>
    </r>
    <r>
      <rPr>
        <b/>
        <sz val="12"/>
        <rFont val="Cordia New"/>
        <family val="2"/>
      </rPr>
      <t>ซ่อม :</t>
    </r>
  </si>
  <si>
    <t>วันที่เครื่องขัดข้อง :</t>
  </si>
  <si>
    <t>อารการที่ขัดข้อง :</t>
  </si>
  <si>
    <t>วันที่บังคับใช้ 15 มกราคม 2561</t>
  </si>
  <si>
    <t>ISSUE : C</t>
  </si>
  <si>
    <t>FS - A13 - 004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</si>
</sst>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41E]d/m/yyyy"/>
    <numFmt numFmtId="165" formatCode="[$-F800]dddd\,\ mmmm\ dd\,\ yyyy"/>
    <numFmt numFmtId="166" formatCode="d\ /\ mmmm\ /\ yyyy"/>
    <numFmt numFmtId="167" formatCode="d/mmmm/yyyy"/>
    <numFmt numFmtId="168" formatCode="d\ /\ mmm\ /\ yyyy"/>
  </numFmts>
  <fonts count="23">
    <font>
      <sz val="11"/>
      <color indexed="8"/>
      <name val="Tahoma"/>
      <family val="2"/>
      <charset val="222"/>
    </font>
    <font>
      <sz val="10"/>
      <name val="Arial"/>
      <family val="2"/>
    </font>
    <font>
      <sz val="14"/>
      <name val="Cordia New"/>
      <family val="2"/>
    </font>
    <font>
      <sz val="12"/>
      <name val="Cordia New"/>
      <family val="2"/>
      <charset val="222"/>
    </font>
    <font>
      <b/>
      <sz val="18"/>
      <name val="Cordia New"/>
      <family val="2"/>
      <charset val="222"/>
    </font>
    <font>
      <sz val="12"/>
      <name val="Cordia New"/>
      <family val="2"/>
    </font>
    <font>
      <sz val="12"/>
      <name val="CordiaUPC"/>
      <family val="2"/>
      <charset val="222"/>
    </font>
    <font>
      <sz val="12"/>
      <name val="Tahoma"/>
      <family val="2"/>
      <charset val="222"/>
    </font>
    <font>
      <sz val="14"/>
      <name val="Wingdings"/>
      <charset val="2"/>
    </font>
    <font>
      <sz val="14"/>
      <name val="Cordia New"/>
      <family val="2"/>
      <charset val="222"/>
    </font>
    <font>
      <b/>
      <sz val="12"/>
      <name val="Cordia New"/>
      <family val="2"/>
    </font>
    <font>
      <b/>
      <sz val="12"/>
      <name val="Cordia New"/>
      <family val="2"/>
      <charset val="222"/>
    </font>
    <font>
      <sz val="18"/>
      <name val="Wingdings"/>
      <charset val="2"/>
    </font>
    <font>
      <i/>
      <sz val="12"/>
      <name val="Cordia New"/>
      <family val="2"/>
    </font>
    <font>
      <b/>
      <sz val="12"/>
      <name val="CordiaUPC"/>
      <family val="2"/>
      <charset val="222"/>
    </font>
    <font>
      <sz val="12"/>
      <color indexed="8"/>
      <name val="Cordia New"/>
      <family val="2"/>
      <charset val="2"/>
    </font>
    <font>
      <sz val="12"/>
      <color indexed="8"/>
      <name val="Wingdings"/>
      <charset val="2"/>
    </font>
    <font>
      <sz val="16"/>
      <name val="Wingdings"/>
      <charset val="2"/>
    </font>
    <font>
      <sz val="12"/>
      <name val="Cordia New"/>
      <family val="2"/>
      <charset val="2"/>
    </font>
    <font>
      <b/>
      <sz val="11"/>
      <color indexed="8"/>
      <name val="Cordia New"/>
      <family val="2"/>
    </font>
    <font>
      <b/>
      <u/>
      <sz val="16"/>
      <name val="Cordia New"/>
      <family val="2"/>
    </font>
    <font>
      <b/>
      <sz val="14"/>
      <name val="Cordia New"/>
      <family val="2"/>
    </font>
    <font>
      <sz val="11"/>
      <color indexed="8"/>
      <name val="Tahoma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7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dotted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tted">
        <color indexed="8"/>
      </bottom>
      <diagonal/>
    </border>
    <border>
      <left/>
      <right/>
      <top style="dotted">
        <color indexed="8"/>
      </top>
      <bottom style="dotted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8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/>
      <bottom style="hair">
        <color indexed="8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</cellStyleXfs>
  <cellXfs count="336">
    <xf numFmtId="0" fontId="0" fillId="0" borderId="0" xfId="0"/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3" fillId="2" borderId="5" xfId="0" applyFont="1" applyFill="1" applyBorder="1" applyAlignment="1">
      <alignment horizontal="right"/>
    </xf>
    <xf numFmtId="0" fontId="3" fillId="2" borderId="8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5" fillId="0" borderId="0" xfId="0" applyFont="1"/>
    <xf numFmtId="0" fontId="5" fillId="0" borderId="11" xfId="0" applyFont="1" applyBorder="1"/>
    <xf numFmtId="0" fontId="5" fillId="0" borderId="0" xfId="0" applyFont="1" applyAlignment="1">
      <alignment horizontal="left"/>
    </xf>
    <xf numFmtId="0" fontId="5" fillId="0" borderId="11" xfId="0" applyFont="1" applyBorder="1" applyAlignment="1">
      <alignment horizontal="left"/>
    </xf>
    <xf numFmtId="0" fontId="3" fillId="2" borderId="0" xfId="0" applyFont="1" applyFill="1" applyAlignment="1">
      <alignment vertical="center"/>
    </xf>
    <xf numFmtId="0" fontId="5" fillId="2" borderId="4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/>
    <xf numFmtId="0" fontId="5" fillId="2" borderId="16" xfId="0" applyFont="1" applyFill="1" applyBorder="1"/>
    <xf numFmtId="0" fontId="5" fillId="2" borderId="17" xfId="0" applyFont="1" applyFill="1" applyBorder="1"/>
    <xf numFmtId="0" fontId="5" fillId="2" borderId="18" xfId="0" applyFont="1" applyFill="1" applyBorder="1"/>
    <xf numFmtId="0" fontId="5" fillId="2" borderId="19" xfId="0" applyFont="1" applyFill="1" applyBorder="1"/>
    <xf numFmtId="0" fontId="5" fillId="2" borderId="20" xfId="0" applyFont="1" applyFill="1" applyBorder="1"/>
    <xf numFmtId="0" fontId="5" fillId="2" borderId="21" xfId="0" applyFont="1" applyFill="1" applyBorder="1"/>
    <xf numFmtId="0" fontId="5" fillId="2" borderId="22" xfId="0" applyFont="1" applyFill="1" applyBorder="1"/>
    <xf numFmtId="0" fontId="5" fillId="2" borderId="23" xfId="0" applyFont="1" applyFill="1" applyBorder="1"/>
    <xf numFmtId="0" fontId="5" fillId="2" borderId="25" xfId="0" applyFont="1" applyFill="1" applyBorder="1"/>
    <xf numFmtId="0" fontId="5" fillId="2" borderId="3" xfId="0" applyFont="1" applyFill="1" applyBorder="1"/>
    <xf numFmtId="0" fontId="5" fillId="2" borderId="0" xfId="0" applyFont="1" applyFill="1"/>
    <xf numFmtId="0" fontId="3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/>
    <xf numFmtId="0" fontId="18" fillId="2" borderId="3" xfId="0" applyFont="1" applyFill="1" applyBorder="1"/>
    <xf numFmtId="0" fontId="17" fillId="2" borderId="5" xfId="0" applyFont="1" applyFill="1" applyBorder="1"/>
    <xf numFmtId="0" fontId="18" fillId="2" borderId="0" xfId="0" applyFont="1" applyFill="1"/>
    <xf numFmtId="0" fontId="17" fillId="2" borderId="6" xfId="0" applyFont="1" applyFill="1" applyBorder="1"/>
    <xf numFmtId="0" fontId="18" fillId="2" borderId="7" xfId="0" applyFont="1" applyFill="1" applyBorder="1"/>
    <xf numFmtId="0" fontId="3" fillId="2" borderId="14" xfId="0" applyFont="1" applyFill="1" applyBorder="1"/>
    <xf numFmtId="0" fontId="6" fillId="2" borderId="13" xfId="0" applyFont="1" applyFill="1" applyBorder="1" applyAlignment="1">
      <alignment horizontal="center" vertical="top"/>
    </xf>
    <xf numFmtId="0" fontId="5" fillId="2" borderId="33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2" borderId="50" xfId="0" applyFont="1" applyFill="1" applyBorder="1"/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37" xfId="0" applyFont="1" applyFill="1" applyBorder="1"/>
    <xf numFmtId="166" fontId="3" fillId="2" borderId="0" xfId="0" applyNumberFormat="1" applyFont="1" applyFill="1" applyAlignment="1">
      <alignment horizontal="center"/>
    </xf>
    <xf numFmtId="20" fontId="3" fillId="2" borderId="40" xfId="0" applyNumberFormat="1" applyFont="1" applyFill="1" applyBorder="1" applyAlignment="1">
      <alignment horizontal="center"/>
    </xf>
    <xf numFmtId="20" fontId="3" fillId="2" borderId="0" xfId="0" applyNumberFormat="1" applyFont="1" applyFill="1" applyAlignment="1">
      <alignment horizontal="center"/>
    </xf>
    <xf numFmtId="0" fontId="3" fillId="2" borderId="51" xfId="0" applyFont="1" applyFill="1" applyBorder="1"/>
    <xf numFmtId="166" fontId="3" fillId="2" borderId="0" xfId="0" applyNumberFormat="1" applyFont="1" applyFill="1"/>
    <xf numFmtId="20" fontId="3" fillId="2" borderId="0" xfId="0" applyNumberFormat="1" applyFont="1" applyFill="1" applyAlignment="1">
      <alignment horizontal="left"/>
    </xf>
    <xf numFmtId="0" fontId="7" fillId="0" borderId="0" xfId="0" applyFont="1"/>
    <xf numFmtId="0" fontId="3" fillId="2" borderId="11" xfId="0" applyFont="1" applyFill="1" applyBorder="1" applyAlignment="1">
      <alignment horizontal="center"/>
    </xf>
    <xf numFmtId="0" fontId="3" fillId="2" borderId="47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7" fillId="0" borderId="46" xfId="0" applyFont="1" applyBorder="1"/>
    <xf numFmtId="0" fontId="3" fillId="2" borderId="36" xfId="0" applyFont="1" applyFill="1" applyBorder="1" applyAlignment="1">
      <alignment horizontal="center"/>
    </xf>
    <xf numFmtId="0" fontId="3" fillId="2" borderId="36" xfId="0" applyFont="1" applyFill="1" applyBorder="1"/>
    <xf numFmtId="0" fontId="3" fillId="2" borderId="38" xfId="0" applyFont="1" applyFill="1" applyBorder="1"/>
    <xf numFmtId="0" fontId="3" fillId="2" borderId="41" xfId="0" applyFont="1" applyFill="1" applyBorder="1"/>
    <xf numFmtId="0" fontId="3" fillId="2" borderId="0" xfId="0" applyFont="1" applyFill="1" applyAlignment="1">
      <alignment horizontal="center" vertical="center" wrapText="1"/>
    </xf>
    <xf numFmtId="49" fontId="10" fillId="2" borderId="46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38" xfId="0" applyNumberFormat="1" applyFont="1" applyFill="1" applyBorder="1" applyAlignment="1">
      <alignment horizontal="center" vertical="center" wrapText="1"/>
    </xf>
    <xf numFmtId="0" fontId="3" fillId="2" borderId="47" xfId="0" applyFont="1" applyFill="1" applyBorder="1"/>
    <xf numFmtId="0" fontId="3" fillId="2" borderId="39" xfId="0" applyFont="1" applyFill="1" applyBorder="1"/>
    <xf numFmtId="0" fontId="5" fillId="2" borderId="0" xfId="0" applyFont="1" applyFill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5" fillId="2" borderId="59" xfId="0" applyFont="1" applyFill="1" applyBorder="1"/>
    <xf numFmtId="0" fontId="5" fillId="2" borderId="60" xfId="0" applyFont="1" applyFill="1" applyBorder="1"/>
    <xf numFmtId="0" fontId="5" fillId="2" borderId="32" xfId="0" applyFont="1" applyFill="1" applyBorder="1"/>
    <xf numFmtId="0" fontId="7" fillId="0" borderId="46" xfId="0" applyFont="1" applyBorder="1" applyAlignment="1">
      <alignment horizontal="center" vertical="center" wrapText="1"/>
    </xf>
    <xf numFmtId="0" fontId="5" fillId="2" borderId="36" xfId="0" applyFont="1" applyFill="1" applyBorder="1"/>
    <xf numFmtId="0" fontId="13" fillId="2" borderId="36" xfId="0" applyFont="1" applyFill="1" applyBorder="1" applyAlignment="1">
      <alignment horizontal="center"/>
    </xf>
    <xf numFmtId="0" fontId="5" fillId="2" borderId="36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left"/>
    </xf>
    <xf numFmtId="166" fontId="3" fillId="2" borderId="0" xfId="0" applyNumberFormat="1" applyFont="1" applyFill="1" applyAlignment="1">
      <alignment horizontal="right"/>
    </xf>
    <xf numFmtId="20" fontId="3" fillId="2" borderId="0" xfId="0" applyNumberFormat="1" applyFont="1" applyFill="1"/>
    <xf numFmtId="0" fontId="3" fillId="2" borderId="63" xfId="0" applyFont="1" applyFill="1" applyBorder="1" applyAlignment="1">
      <alignment horizontal="center"/>
    </xf>
    <xf numFmtId="0" fontId="3" fillId="2" borderId="63" xfId="0" applyFont="1" applyFill="1" applyBorder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/>
    </xf>
    <xf numFmtId="0" fontId="3" fillId="2" borderId="46" xfId="0" applyFont="1" applyFill="1" applyBorder="1" applyAlignment="1">
      <alignment horizontal="center" wrapText="1"/>
    </xf>
    <xf numFmtId="0" fontId="5" fillId="0" borderId="38" xfId="0" applyFont="1" applyBorder="1" applyAlignment="1">
      <alignment vertical="center"/>
    </xf>
    <xf numFmtId="0" fontId="3" fillId="2" borderId="51" xfId="0" applyFont="1" applyFill="1" applyBorder="1" applyAlignment="1">
      <alignment horizontal="center" vertical="center" wrapText="1"/>
    </xf>
    <xf numFmtId="0" fontId="5" fillId="0" borderId="41" xfId="0" applyFont="1" applyBorder="1" applyAlignment="1">
      <alignment vertical="center"/>
    </xf>
    <xf numFmtId="0" fontId="3" fillId="2" borderId="51" xfId="0" applyFont="1" applyFill="1" applyBorder="1" applyAlignment="1">
      <alignment wrapText="1"/>
    </xf>
    <xf numFmtId="0" fontId="15" fillId="2" borderId="47" xfId="0" applyFont="1" applyFill="1" applyBorder="1" applyAlignment="1">
      <alignment vertical="center"/>
    </xf>
    <xf numFmtId="0" fontId="16" fillId="2" borderId="37" xfId="0" applyFont="1" applyFill="1" applyBorder="1" applyAlignment="1">
      <alignment vertical="center"/>
    </xf>
    <xf numFmtId="0" fontId="15" fillId="2" borderId="37" xfId="0" applyFont="1" applyFill="1" applyBorder="1" applyAlignment="1">
      <alignment horizontal="left" vertical="center"/>
    </xf>
    <xf numFmtId="0" fontId="3" fillId="2" borderId="37" xfId="0" applyFont="1" applyFill="1" applyBorder="1" applyAlignment="1">
      <alignment horizontal="center" wrapText="1"/>
    </xf>
    <xf numFmtId="0" fontId="16" fillId="2" borderId="37" xfId="0" applyFont="1" applyFill="1" applyBorder="1" applyAlignment="1">
      <alignment horizontal="left" vertical="center"/>
    </xf>
    <xf numFmtId="0" fontId="5" fillId="0" borderId="39" xfId="0" applyFont="1" applyBorder="1" applyAlignment="1">
      <alignment vertical="center"/>
    </xf>
    <xf numFmtId="0" fontId="5" fillId="2" borderId="38" xfId="0" applyFont="1" applyFill="1" applyBorder="1"/>
    <xf numFmtId="0" fontId="3" fillId="2" borderId="4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66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top"/>
    </xf>
    <xf numFmtId="0" fontId="3" fillId="2" borderId="13" xfId="0" applyFont="1" applyFill="1" applyBorder="1" applyAlignment="1">
      <alignment horizontal="center" vertical="top"/>
    </xf>
    <xf numFmtId="0" fontId="3" fillId="2" borderId="6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5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6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17" fillId="2" borderId="51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41" xfId="0" applyFont="1" applyFill="1" applyBorder="1" applyAlignment="1">
      <alignment horizontal="center"/>
    </xf>
    <xf numFmtId="0" fontId="3" fillId="2" borderId="47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48" xfId="0" applyFont="1" applyFill="1" applyBorder="1" applyAlignment="1">
      <alignment horizontal="center" vertical="top"/>
    </xf>
    <xf numFmtId="0" fontId="3" fillId="2" borderId="44" xfId="0" applyFont="1" applyFill="1" applyBorder="1" applyAlignment="1">
      <alignment horizontal="center" vertical="top"/>
    </xf>
    <xf numFmtId="0" fontId="3" fillId="2" borderId="45" xfId="0" applyFont="1" applyFill="1" applyBorder="1" applyAlignment="1">
      <alignment horizontal="center" vertical="top"/>
    </xf>
    <xf numFmtId="0" fontId="17" fillId="2" borderId="46" xfId="0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textRotation="90"/>
    </xf>
    <xf numFmtId="0" fontId="11" fillId="2" borderId="1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6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textRotation="90" wrapText="1"/>
    </xf>
    <xf numFmtId="0" fontId="3" fillId="2" borderId="18" xfId="0" applyFont="1" applyFill="1" applyBorder="1" applyAlignment="1">
      <alignment horizontal="center"/>
    </xf>
    <xf numFmtId="164" fontId="3" fillId="2" borderId="22" xfId="0" applyNumberFormat="1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 vertical="center" textRotation="90" wrapText="1"/>
    </xf>
    <xf numFmtId="0" fontId="3" fillId="2" borderId="22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 vertical="center" textRotation="90" wrapText="1"/>
    </xf>
    <xf numFmtId="0" fontId="19" fillId="2" borderId="1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" fillId="0" borderId="36" xfId="0" applyFont="1" applyBorder="1" applyAlignment="1">
      <alignment horizontal="left" vertical="center"/>
    </xf>
    <xf numFmtId="0" fontId="5" fillId="0" borderId="5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17" fillId="2" borderId="27" xfId="0" applyFont="1" applyFill="1" applyBorder="1" applyAlignment="1">
      <alignment horizontal="center" vertical="top"/>
    </xf>
    <xf numFmtId="0" fontId="17" fillId="2" borderId="12" xfId="0" applyFont="1" applyFill="1" applyBorder="1" applyAlignment="1">
      <alignment horizontal="center" vertical="top"/>
    </xf>
    <xf numFmtId="0" fontId="10" fillId="2" borderId="1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166" fontId="3" fillId="2" borderId="40" xfId="0" applyNumberFormat="1" applyFont="1" applyFill="1" applyBorder="1" applyAlignment="1">
      <alignment horizontal="center"/>
    </xf>
    <xf numFmtId="0" fontId="5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2" borderId="64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left" vertical="center" wrapText="1"/>
    </xf>
    <xf numFmtId="0" fontId="17" fillId="2" borderId="48" xfId="0" applyFont="1" applyFill="1" applyBorder="1" applyAlignment="1">
      <alignment horizontal="center" vertical="top"/>
    </xf>
    <xf numFmtId="0" fontId="17" fillId="2" borderId="44" xfId="0" applyFont="1" applyFill="1" applyBorder="1" applyAlignment="1">
      <alignment horizontal="center" vertical="top"/>
    </xf>
    <xf numFmtId="0" fontId="17" fillId="2" borderId="45" xfId="0" applyFont="1" applyFill="1" applyBorder="1" applyAlignment="1">
      <alignment horizontal="center" vertical="top"/>
    </xf>
    <xf numFmtId="0" fontId="17" fillId="2" borderId="46" xfId="0" applyFont="1" applyFill="1" applyBorder="1" applyAlignment="1">
      <alignment horizontal="center"/>
    </xf>
    <xf numFmtId="0" fontId="17" fillId="2" borderId="36" xfId="0" applyFont="1" applyFill="1" applyBorder="1" applyAlignment="1">
      <alignment horizontal="center"/>
    </xf>
    <xf numFmtId="0" fontId="17" fillId="2" borderId="38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167" fontId="3" fillId="2" borderId="19" xfId="0" applyNumberFormat="1" applyFont="1" applyFill="1" applyBorder="1" applyAlignment="1">
      <alignment horizontal="center"/>
    </xf>
    <xf numFmtId="167" fontId="3" fillId="2" borderId="20" xfId="0" applyNumberFormat="1" applyFont="1" applyFill="1" applyBorder="1" applyAlignment="1">
      <alignment horizontal="center"/>
    </xf>
    <xf numFmtId="167" fontId="3" fillId="2" borderId="21" xfId="0" applyNumberFormat="1" applyFont="1" applyFill="1" applyBorder="1" applyAlignment="1">
      <alignment horizontal="center"/>
    </xf>
    <xf numFmtId="167" fontId="3" fillId="2" borderId="23" xfId="0" applyNumberFormat="1" applyFont="1" applyFill="1" applyBorder="1" applyAlignment="1">
      <alignment horizontal="center"/>
    </xf>
    <xf numFmtId="167" fontId="3" fillId="2" borderId="24" xfId="0" applyNumberFormat="1" applyFont="1" applyFill="1" applyBorder="1" applyAlignment="1">
      <alignment horizontal="center"/>
    </xf>
    <xf numFmtId="167" fontId="3" fillId="2" borderId="25" xfId="0" applyNumberFormat="1" applyFont="1" applyFill="1" applyBorder="1" applyAlignment="1">
      <alignment horizontal="center"/>
    </xf>
    <xf numFmtId="0" fontId="5" fillId="0" borderId="48" xfId="0" applyFont="1" applyBorder="1" applyAlignment="1">
      <alignment horizontal="center" vertical="top"/>
    </xf>
    <xf numFmtId="0" fontId="5" fillId="0" borderId="44" xfId="0" applyFont="1" applyBorder="1" applyAlignment="1">
      <alignment horizontal="center" vertical="top"/>
    </xf>
    <xf numFmtId="0" fontId="5" fillId="0" borderId="45" xfId="0" applyFont="1" applyBorder="1" applyAlignment="1">
      <alignment horizontal="center" vertical="top"/>
    </xf>
    <xf numFmtId="0" fontId="14" fillId="0" borderId="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textRotation="90"/>
    </xf>
    <xf numFmtId="164" fontId="3" fillId="2" borderId="18" xfId="0" applyNumberFormat="1" applyFont="1" applyFill="1" applyBorder="1" applyAlignment="1">
      <alignment horizontal="center"/>
    </xf>
    <xf numFmtId="0" fontId="3" fillId="2" borderId="22" xfId="0" applyFont="1" applyFill="1" applyBorder="1" applyAlignment="1">
      <alignment horizontal="left" vertical="center"/>
    </xf>
    <xf numFmtId="167" fontId="3" fillId="2" borderId="15" xfId="0" applyNumberFormat="1" applyFont="1" applyFill="1" applyBorder="1" applyAlignment="1">
      <alignment horizontal="center"/>
    </xf>
    <xf numFmtId="167" fontId="3" fillId="2" borderId="16" xfId="0" applyNumberFormat="1" applyFont="1" applyFill="1" applyBorder="1" applyAlignment="1">
      <alignment horizontal="center"/>
    </xf>
    <xf numFmtId="167" fontId="3" fillId="2" borderId="17" xfId="0" applyNumberFormat="1" applyFont="1" applyFill="1" applyBorder="1" applyAlignment="1">
      <alignment horizontal="center"/>
    </xf>
    <xf numFmtId="0" fontId="11" fillId="2" borderId="33" xfId="0" applyFont="1" applyFill="1" applyBorder="1" applyAlignment="1">
      <alignment horizontal="center" vertical="center" wrapText="1"/>
    </xf>
    <xf numFmtId="0" fontId="11" fillId="2" borderId="52" xfId="0" applyFont="1" applyFill="1" applyBorder="1" applyAlignment="1">
      <alignment horizontal="center" vertical="center" wrapText="1"/>
    </xf>
    <xf numFmtId="0" fontId="11" fillId="2" borderId="53" xfId="0" applyFont="1" applyFill="1" applyBorder="1" applyAlignment="1">
      <alignment horizontal="center" vertical="center" wrapText="1"/>
    </xf>
    <xf numFmtId="20" fontId="3" fillId="2" borderId="40" xfId="0" applyNumberFormat="1" applyFont="1" applyFill="1" applyBorder="1" applyAlignment="1">
      <alignment horizontal="center"/>
    </xf>
    <xf numFmtId="20" fontId="3" fillId="2" borderId="0" xfId="0" applyNumberFormat="1" applyFont="1" applyFill="1" applyAlignment="1">
      <alignment horizontal="left"/>
    </xf>
    <xf numFmtId="0" fontId="14" fillId="0" borderId="33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5" fillId="0" borderId="33" xfId="0" applyFont="1" applyBorder="1" applyAlignment="1">
      <alignment horizontal="center" vertical="center" textRotation="90"/>
    </xf>
    <xf numFmtId="0" fontId="5" fillId="0" borderId="52" xfId="0" applyFont="1" applyBorder="1" applyAlignment="1">
      <alignment horizontal="center" vertical="center" textRotation="90"/>
    </xf>
    <xf numFmtId="0" fontId="5" fillId="0" borderId="53" xfId="0" applyFont="1" applyBorder="1" applyAlignment="1">
      <alignment horizontal="center" vertical="center" textRotation="90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10" fillId="2" borderId="27" xfId="0" applyFont="1" applyFill="1" applyBorder="1" applyAlignment="1">
      <alignment horizontal="center" vertical="center" textRotation="90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/>
    </xf>
    <xf numFmtId="0" fontId="11" fillId="2" borderId="5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left" vertical="top" wrapText="1"/>
    </xf>
    <xf numFmtId="0" fontId="3" fillId="2" borderId="14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5" fillId="2" borderId="16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20" fontId="3" fillId="2" borderId="0" xfId="0" applyNumberFormat="1" applyFont="1" applyFill="1" applyAlignment="1">
      <alignment horizontal="center"/>
    </xf>
    <xf numFmtId="0" fontId="3" fillId="2" borderId="41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 textRotation="90"/>
    </xf>
    <xf numFmtId="0" fontId="3" fillId="2" borderId="9" xfId="0" applyFont="1" applyFill="1" applyBorder="1" applyAlignment="1">
      <alignment horizontal="center" vertical="center" textRotation="90"/>
    </xf>
    <xf numFmtId="0" fontId="3" fillId="2" borderId="11" xfId="0" applyFont="1" applyFill="1" applyBorder="1" applyAlignment="1">
      <alignment horizontal="center" vertical="center" textRotation="90"/>
    </xf>
    <xf numFmtId="0" fontId="3" fillId="2" borderId="20" xfId="0" applyFont="1" applyFill="1" applyBorder="1" applyAlignment="1">
      <alignment horizont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0" fontId="13" fillId="2" borderId="55" xfId="0" applyFont="1" applyFill="1" applyBorder="1" applyAlignment="1">
      <alignment horizontal="center"/>
    </xf>
    <xf numFmtId="0" fontId="13" fillId="2" borderId="62" xfId="0" applyFont="1" applyFill="1" applyBorder="1" applyAlignment="1">
      <alignment horizontal="center"/>
    </xf>
    <xf numFmtId="0" fontId="5" fillId="2" borderId="55" xfId="0" applyFont="1" applyFill="1" applyBorder="1"/>
    <xf numFmtId="0" fontId="5" fillId="2" borderId="56" xfId="0" applyFont="1" applyFill="1" applyBorder="1"/>
    <xf numFmtId="0" fontId="5" fillId="2" borderId="58" xfId="0" applyFont="1" applyFill="1" applyBorder="1"/>
    <xf numFmtId="0" fontId="5" fillId="2" borderId="60" xfId="0" applyFont="1" applyFill="1" applyBorder="1" applyAlignment="1">
      <alignment horizontal="center"/>
    </xf>
    <xf numFmtId="0" fontId="5" fillId="2" borderId="61" xfId="0" applyFont="1" applyFill="1" applyBorder="1" applyAlignment="1">
      <alignment horizontal="center"/>
    </xf>
    <xf numFmtId="0" fontId="5" fillId="2" borderId="46" xfId="0" applyFont="1" applyFill="1" applyBorder="1" applyAlignment="1">
      <alignment horizontal="center"/>
    </xf>
    <xf numFmtId="0" fontId="5" fillId="2" borderId="38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top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right"/>
    </xf>
    <xf numFmtId="0" fontId="3" fillId="2" borderId="28" xfId="0" applyFont="1" applyFill="1" applyBorder="1" applyAlignment="1">
      <alignment horizontal="left"/>
    </xf>
    <xf numFmtId="0" fontId="3" fillId="2" borderId="49" xfId="0" applyFont="1" applyFill="1" applyBorder="1" applyAlignment="1">
      <alignment horizontal="left"/>
    </xf>
    <xf numFmtId="0" fontId="3" fillId="2" borderId="43" xfId="0" applyFont="1" applyFill="1" applyBorder="1" applyAlignment="1">
      <alignment horizontal="center" vertical="center" textRotation="90"/>
    </xf>
    <xf numFmtId="0" fontId="3" fillId="2" borderId="34" xfId="0" applyFont="1" applyFill="1" applyBorder="1" applyAlignment="1">
      <alignment horizontal="center" vertical="center" textRotation="90"/>
    </xf>
    <xf numFmtId="0" fontId="3" fillId="2" borderId="35" xfId="0" applyFont="1" applyFill="1" applyBorder="1" applyAlignment="1">
      <alignment horizontal="center" vertical="center" textRotation="90"/>
    </xf>
    <xf numFmtId="0" fontId="10" fillId="2" borderId="5" xfId="0" applyFont="1" applyFill="1" applyBorder="1" applyAlignment="1">
      <alignment horizontal="right"/>
    </xf>
    <xf numFmtId="0" fontId="3" fillId="2" borderId="29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left"/>
    </xf>
    <xf numFmtId="0" fontId="8" fillId="0" borderId="48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21" fillId="2" borderId="46" xfId="0" applyFont="1" applyFill="1" applyBorder="1" applyAlignment="1">
      <alignment horizontal="center" vertical="center"/>
    </xf>
    <xf numFmtId="0" fontId="21" fillId="2" borderId="36" xfId="0" applyFont="1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21" fillId="2" borderId="37" xfId="0" applyFont="1" applyFill="1" applyBorder="1" applyAlignment="1">
      <alignment horizontal="center" vertical="center"/>
    </xf>
    <xf numFmtId="0" fontId="21" fillId="2" borderId="38" xfId="0" applyFont="1" applyFill="1" applyBorder="1" applyAlignment="1">
      <alignment horizontal="center" vertical="center"/>
    </xf>
    <xf numFmtId="0" fontId="21" fillId="2" borderId="39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168" fontId="3" fillId="2" borderId="40" xfId="0" applyNumberFormat="1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 vertical="center" textRotation="90" wrapText="1"/>
    </xf>
    <xf numFmtId="0" fontId="5" fillId="2" borderId="53" xfId="0" applyFont="1" applyFill="1" applyBorder="1" applyAlignment="1">
      <alignment horizontal="center" vertical="center" textRotation="90" wrapText="1"/>
    </xf>
    <xf numFmtId="0" fontId="3" fillId="2" borderId="54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top" wrapText="1"/>
    </xf>
    <xf numFmtId="0" fontId="3" fillId="2" borderId="11" xfId="0" applyFont="1" applyFill="1" applyBorder="1" applyAlignment="1">
      <alignment horizontal="left" vertical="top" wrapText="1"/>
    </xf>
    <xf numFmtId="0" fontId="11" fillId="2" borderId="46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 textRotation="90" wrapText="1"/>
    </xf>
    <xf numFmtId="0" fontId="3" fillId="2" borderId="57" xfId="0" applyFont="1" applyFill="1" applyBorder="1" applyAlignment="1">
      <alignment horizontal="center" vertical="center"/>
    </xf>
    <xf numFmtId="14" fontId="3" fillId="2" borderId="40" xfId="0" applyNumberFormat="1" applyFont="1" applyFill="1" applyBorder="1" applyAlignment="1">
      <alignment horizontal="center"/>
    </xf>
    <xf numFmtId="43" fontId="3" fillId="2" borderId="51" xfId="3" applyFont="1" applyFill="1" applyBorder="1" applyAlignment="1">
      <alignment horizontal="center" vertical="top" wrapText="1"/>
    </xf>
    <xf numFmtId="43" fontId="3" fillId="2" borderId="0" xfId="3" applyFont="1" applyFill="1" applyAlignment="1">
      <alignment horizontal="center" vertical="top" wrapText="1"/>
    </xf>
    <xf numFmtId="43" fontId="3" fillId="2" borderId="11" xfId="3" applyFont="1" applyFill="1" applyBorder="1" applyAlignment="1">
      <alignment horizontal="center" vertical="top" wrapText="1"/>
    </xf>
    <xf numFmtId="43" fontId="3" fillId="2" borderId="67" xfId="3" applyFont="1" applyFill="1" applyBorder="1" applyAlignment="1">
      <alignment horizontal="center" vertical="top" wrapText="1"/>
    </xf>
    <xf numFmtId="43" fontId="3" fillId="2" borderId="7" xfId="3" applyFont="1" applyFill="1" applyBorder="1" applyAlignment="1">
      <alignment horizontal="center" vertical="top" wrapText="1"/>
    </xf>
    <xf numFmtId="43" fontId="3" fillId="2" borderId="26" xfId="3" applyFont="1" applyFill="1" applyBorder="1" applyAlignment="1">
      <alignment horizontal="center" vertical="top" wrapText="1"/>
    </xf>
    <xf numFmtId="0" fontId="10" fillId="2" borderId="0" xfId="0" applyFont="1" applyFill="1" applyAlignment="1">
      <alignment horizontal="right"/>
    </xf>
    <xf numFmtId="0" fontId="5" fillId="2" borderId="0" xfId="0" applyFont="1" applyFill="1" applyAlignment="1">
      <alignment horizontal="left"/>
    </xf>
    <xf numFmtId="0" fontId="5" fillId="2" borderId="41" xfId="0" applyFont="1" applyFill="1" applyBorder="1" applyAlignment="1">
      <alignment horizontal="left"/>
    </xf>
    <xf numFmtId="165" fontId="3" fillId="2" borderId="0" xfId="0" applyNumberFormat="1" applyFont="1" applyFill="1" applyAlignment="1">
      <alignment horizontal="center"/>
    </xf>
    <xf numFmtId="0" fontId="3" fillId="2" borderId="30" xfId="0" applyFont="1" applyFill="1" applyBorder="1" applyAlignment="1">
      <alignment horizontal="left"/>
    </xf>
    <xf numFmtId="166" fontId="3" fillId="2" borderId="0" xfId="0" applyNumberFormat="1" applyFont="1" applyFill="1" applyAlignment="1">
      <alignment horizontal="right"/>
    </xf>
    <xf numFmtId="166" fontId="3" fillId="2" borderId="51" xfId="0" applyNumberFormat="1" applyFont="1" applyFill="1" applyBorder="1" applyAlignment="1">
      <alignment horizontal="right"/>
    </xf>
    <xf numFmtId="0" fontId="3" fillId="2" borderId="21" xfId="0" applyFont="1" applyFill="1" applyBorder="1" applyAlignment="1">
      <alignment horizontal="left"/>
    </xf>
    <xf numFmtId="0" fontId="3" fillId="2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/>
    </xf>
    <xf numFmtId="0" fontId="3" fillId="2" borderId="31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49" fontId="11" fillId="2" borderId="0" xfId="0" applyNumberFormat="1" applyFont="1" applyFill="1" applyAlignment="1">
      <alignment horizontal="right" vertical="center" wrapText="1"/>
    </xf>
    <xf numFmtId="49" fontId="11" fillId="2" borderId="5" xfId="0" applyNumberFormat="1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0" fillId="2" borderId="51" xfId="0" applyFont="1" applyFill="1" applyBorder="1" applyAlignment="1">
      <alignment horizontal="right" vertical="top" wrapText="1"/>
    </xf>
    <xf numFmtId="0" fontId="10" fillId="2" borderId="0" xfId="0" applyFont="1" applyFill="1" applyAlignment="1">
      <alignment horizontal="right" vertical="top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69" xfId="0" applyFont="1" applyFill="1" applyBorder="1" applyAlignment="1">
      <alignment vertical="center" wrapText="1"/>
    </xf>
    <xf numFmtId="0" fontId="3" fillId="2" borderId="31" xfId="0" applyFont="1" applyFill="1" applyBorder="1" applyAlignment="1">
      <alignment vertical="center" wrapText="1"/>
    </xf>
    <xf numFmtId="0" fontId="3" fillId="2" borderId="30" xfId="0" applyFont="1" applyFill="1" applyBorder="1" applyAlignment="1">
      <alignment vertical="center"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1.emf"/><Relationship Id="rId16" Type="http://schemas.openxmlformats.org/officeDocument/2006/relationships/image" Target="../media/image16.emf"/><Relationship Id="rId1" Type="http://schemas.openxmlformats.org/officeDocument/2006/relationships/image" Target="../media/image2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144780</xdr:colOff>
      <xdr:row>32</xdr:row>
      <xdr:rowOff>0</xdr:rowOff>
    </xdr:from>
    <xdr:to>
      <xdr:col>1</xdr:col>
      <xdr:colOff>220980</xdr:colOff>
      <xdr:row>33</xdr:row>
      <xdr:rowOff>45720</xdr:rowOff>
    </xdr:to>
    <xdr:sp macro="" textlink="">
      <xdr:nvSpPr>
        <xdr:cNvPr id="1048" name="Text Box 12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4780" y="6126480"/>
          <a:ext cx="76200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144780</xdr:colOff>
      <xdr:row>45</xdr:row>
      <xdr:rowOff>0</xdr:rowOff>
    </xdr:from>
    <xdr:to>
      <xdr:col>1</xdr:col>
      <xdr:colOff>220980</xdr:colOff>
      <xdr:row>47</xdr:row>
      <xdr:rowOff>106680</xdr:rowOff>
    </xdr:to>
    <xdr:sp macro="" textlink="">
      <xdr:nvSpPr>
        <xdr:cNvPr id="1049" name="Text Box 12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 txBox="1">
          <a:spLocks noChangeArrowheads="1"/>
        </xdr:cNvSpPr>
      </xdr:nvSpPr>
      <xdr:spPr bwMode="auto">
        <a:xfrm>
          <a:off x="144780" y="8549640"/>
          <a:ext cx="76200" cy="3352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5</xdr:row>
          <xdr:rowOff>220980</xdr:rowOff>
        </xdr:from>
        <xdr:to>
          <xdr:col>14</xdr:col>
          <xdr:colOff>487680</xdr:colOff>
          <xdr:row>7</xdr:row>
          <xdr:rowOff>114300</xdr:rowOff>
        </xdr:to>
        <xdr:sp macro="" textlink="">
          <xdr:nvSpPr>
            <xdr:cNvPr id="2049" name="CheckBox1" descr="เครื่องจักรหยุด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144780</xdr:colOff>
          <xdr:row>6</xdr:row>
          <xdr:rowOff>213360</xdr:rowOff>
        </xdr:from>
        <xdr:to>
          <xdr:col>16</xdr:col>
          <xdr:colOff>0</xdr:colOff>
          <xdr:row>8</xdr:row>
          <xdr:rowOff>106680</xdr:rowOff>
        </xdr:to>
        <xdr:sp macro="" textlink="">
          <xdr:nvSpPr>
            <xdr:cNvPr id="2050" name="CheckBox2" descr="เครื่องจักรหยุด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76</xdr:row>
          <xdr:rowOff>22860</xdr:rowOff>
        </xdr:from>
        <xdr:to>
          <xdr:col>4</xdr:col>
          <xdr:colOff>68580</xdr:colOff>
          <xdr:row>76</xdr:row>
          <xdr:rowOff>289560</xdr:rowOff>
        </xdr:to>
        <xdr:sp macro="" textlink="">
          <xdr:nvSpPr>
            <xdr:cNvPr id="2051" name="CheckBox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259080</xdr:colOff>
          <xdr:row>77</xdr:row>
          <xdr:rowOff>45720</xdr:rowOff>
        </xdr:from>
        <xdr:to>
          <xdr:col>4</xdr:col>
          <xdr:colOff>99060</xdr:colOff>
          <xdr:row>78</xdr:row>
          <xdr:rowOff>7620</xdr:rowOff>
        </xdr:to>
        <xdr:sp macro="" textlink="">
          <xdr:nvSpPr>
            <xdr:cNvPr id="2052" name="CheckBox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259080</xdr:colOff>
          <xdr:row>78</xdr:row>
          <xdr:rowOff>30480</xdr:rowOff>
        </xdr:from>
        <xdr:to>
          <xdr:col>4</xdr:col>
          <xdr:colOff>441960</xdr:colOff>
          <xdr:row>78</xdr:row>
          <xdr:rowOff>304800</xdr:rowOff>
        </xdr:to>
        <xdr:sp macro="" textlink="">
          <xdr:nvSpPr>
            <xdr:cNvPr id="2053" name="CheckBox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259080</xdr:colOff>
          <xdr:row>79</xdr:row>
          <xdr:rowOff>0</xdr:rowOff>
        </xdr:from>
        <xdr:to>
          <xdr:col>4</xdr:col>
          <xdr:colOff>441960</xdr:colOff>
          <xdr:row>79</xdr:row>
          <xdr:rowOff>274320</xdr:rowOff>
        </xdr:to>
        <xdr:sp macro="" textlink="">
          <xdr:nvSpPr>
            <xdr:cNvPr id="2054" name="CheckBox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76</xdr:row>
          <xdr:rowOff>22860</xdr:rowOff>
        </xdr:from>
        <xdr:to>
          <xdr:col>8</xdr:col>
          <xdr:colOff>213360</xdr:colOff>
          <xdr:row>76</xdr:row>
          <xdr:rowOff>297180</xdr:rowOff>
        </xdr:to>
        <xdr:sp macro="" textlink="">
          <xdr:nvSpPr>
            <xdr:cNvPr id="2055" name="CheckBox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259080</xdr:colOff>
          <xdr:row>77</xdr:row>
          <xdr:rowOff>45720</xdr:rowOff>
        </xdr:from>
        <xdr:to>
          <xdr:col>7</xdr:col>
          <xdr:colOff>99060</xdr:colOff>
          <xdr:row>78</xdr:row>
          <xdr:rowOff>7620</xdr:rowOff>
        </xdr:to>
        <xdr:sp macro="" textlink="">
          <xdr:nvSpPr>
            <xdr:cNvPr id="2056" name="CheckBox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259080</xdr:colOff>
          <xdr:row>78</xdr:row>
          <xdr:rowOff>30480</xdr:rowOff>
        </xdr:from>
        <xdr:to>
          <xdr:col>8</xdr:col>
          <xdr:colOff>335280</xdr:colOff>
          <xdr:row>78</xdr:row>
          <xdr:rowOff>304800</xdr:rowOff>
        </xdr:to>
        <xdr:sp macro="" textlink="">
          <xdr:nvSpPr>
            <xdr:cNvPr id="2057" name="CheckBox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266700</xdr:colOff>
          <xdr:row>76</xdr:row>
          <xdr:rowOff>22860</xdr:rowOff>
        </xdr:from>
        <xdr:to>
          <xdr:col>12</xdr:col>
          <xdr:colOff>99060</xdr:colOff>
          <xdr:row>76</xdr:row>
          <xdr:rowOff>297180</xdr:rowOff>
        </xdr:to>
        <xdr:sp macro="" textlink="">
          <xdr:nvSpPr>
            <xdr:cNvPr id="2058" name="CheckBox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60960</xdr:colOff>
          <xdr:row>77</xdr:row>
          <xdr:rowOff>45720</xdr:rowOff>
        </xdr:from>
        <xdr:to>
          <xdr:col>12</xdr:col>
          <xdr:colOff>259080</xdr:colOff>
          <xdr:row>78</xdr:row>
          <xdr:rowOff>7620</xdr:rowOff>
        </xdr:to>
        <xdr:sp macro="" textlink="">
          <xdr:nvSpPr>
            <xdr:cNvPr id="2059" name="CheckBox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60960</xdr:colOff>
          <xdr:row>78</xdr:row>
          <xdr:rowOff>30480</xdr:rowOff>
        </xdr:from>
        <xdr:to>
          <xdr:col>12</xdr:col>
          <xdr:colOff>259080</xdr:colOff>
          <xdr:row>79</xdr:row>
          <xdr:rowOff>7620</xdr:rowOff>
        </xdr:to>
        <xdr:sp macro="" textlink="">
          <xdr:nvSpPr>
            <xdr:cNvPr id="2060" name="CheckBox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</xdr:colOff>
          <xdr:row>76</xdr:row>
          <xdr:rowOff>22860</xdr:rowOff>
        </xdr:from>
        <xdr:to>
          <xdr:col>15</xdr:col>
          <xdr:colOff>335280</xdr:colOff>
          <xdr:row>77</xdr:row>
          <xdr:rowOff>0</xdr:rowOff>
        </xdr:to>
        <xdr:sp macro="" textlink="">
          <xdr:nvSpPr>
            <xdr:cNvPr id="2061" name="CheckBox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259080</xdr:colOff>
          <xdr:row>77</xdr:row>
          <xdr:rowOff>45720</xdr:rowOff>
        </xdr:from>
        <xdr:to>
          <xdr:col>15</xdr:col>
          <xdr:colOff>457200</xdr:colOff>
          <xdr:row>78</xdr:row>
          <xdr:rowOff>22860</xdr:rowOff>
        </xdr:to>
        <xdr:sp macro="" textlink="">
          <xdr:nvSpPr>
            <xdr:cNvPr id="2062" name="CheckBox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259080</xdr:colOff>
          <xdr:row>78</xdr:row>
          <xdr:rowOff>30480</xdr:rowOff>
        </xdr:from>
        <xdr:to>
          <xdr:col>15</xdr:col>
          <xdr:colOff>457200</xdr:colOff>
          <xdr:row>79</xdr:row>
          <xdr:rowOff>7620</xdr:rowOff>
        </xdr:to>
        <xdr:sp macro="" textlink="">
          <xdr:nvSpPr>
            <xdr:cNvPr id="2063" name="CheckBox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7620</xdr:colOff>
          <xdr:row>76</xdr:row>
          <xdr:rowOff>22860</xdr:rowOff>
        </xdr:from>
        <xdr:to>
          <xdr:col>19</xdr:col>
          <xdr:colOff>213360</xdr:colOff>
          <xdr:row>77</xdr:row>
          <xdr:rowOff>0</xdr:rowOff>
        </xdr:to>
        <xdr:sp macro="" textlink="">
          <xdr:nvSpPr>
            <xdr:cNvPr id="2064" name="CheckBox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259080</xdr:colOff>
          <xdr:row>77</xdr:row>
          <xdr:rowOff>45720</xdr:rowOff>
        </xdr:from>
        <xdr:to>
          <xdr:col>19</xdr:col>
          <xdr:colOff>335280</xdr:colOff>
          <xdr:row>78</xdr:row>
          <xdr:rowOff>22860</xdr:rowOff>
        </xdr:to>
        <xdr:sp macro="" textlink="">
          <xdr:nvSpPr>
            <xdr:cNvPr id="2065" name="CheckBox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259080</xdr:colOff>
          <xdr:row>78</xdr:row>
          <xdr:rowOff>30480</xdr:rowOff>
        </xdr:from>
        <xdr:to>
          <xdr:col>19</xdr:col>
          <xdr:colOff>335280</xdr:colOff>
          <xdr:row>79</xdr:row>
          <xdr:rowOff>7620</xdr:rowOff>
        </xdr:to>
        <xdr:sp macro="" textlink="">
          <xdr:nvSpPr>
            <xdr:cNvPr id="2066" name="CheckBox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65</xdr:row>
          <xdr:rowOff>7620</xdr:rowOff>
        </xdr:from>
        <xdr:to>
          <xdr:col>5</xdr:col>
          <xdr:colOff>182880</xdr:colOff>
          <xdr:row>65</xdr:row>
          <xdr:rowOff>304800</xdr:rowOff>
        </xdr:to>
        <xdr:sp macro="" textlink="">
          <xdr:nvSpPr>
            <xdr:cNvPr id="2067" name="CheckBox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411480</xdr:colOff>
          <xdr:row>65</xdr:row>
          <xdr:rowOff>7620</xdr:rowOff>
        </xdr:from>
        <xdr:to>
          <xdr:col>10</xdr:col>
          <xdr:colOff>495300</xdr:colOff>
          <xdr:row>65</xdr:row>
          <xdr:rowOff>304800</xdr:rowOff>
        </xdr:to>
        <xdr:sp macro="" textlink="">
          <xdr:nvSpPr>
            <xdr:cNvPr id="2068" name="CheckBox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28575</xdr:colOff>
      <xdr:row>1</xdr:row>
      <xdr:rowOff>19050</xdr:rowOff>
    </xdr:from>
    <xdr:to>
      <xdr:col>5</xdr:col>
      <xdr:colOff>148590</xdr:colOff>
      <xdr:row>3</xdr:row>
      <xdr:rowOff>147226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FEE62A-8E62-A4B3-A70C-617B53FF9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257175"/>
          <a:ext cx="2314575" cy="5796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image" Target="../media/image11.emf"/><Relationship Id="rId39" Type="http://schemas.openxmlformats.org/officeDocument/2006/relationships/image" Target="../media/image17.emf"/><Relationship Id="rId21" Type="http://schemas.openxmlformats.org/officeDocument/2006/relationships/image" Target="../media/image9.emf"/><Relationship Id="rId34" Type="http://schemas.openxmlformats.org/officeDocument/2006/relationships/control" Target="../activeX/activeX17.x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control" Target="../activeX/activeX14.xml"/><Relationship Id="rId41" Type="http://schemas.openxmlformats.org/officeDocument/2006/relationships/image" Target="../media/image18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6.xml"/><Relationship Id="rId37" Type="http://schemas.openxmlformats.org/officeDocument/2006/relationships/image" Target="../media/image16.emf"/><Relationship Id="rId40" Type="http://schemas.openxmlformats.org/officeDocument/2006/relationships/control" Target="../activeX/activeX20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image" Target="../media/image12.emf"/><Relationship Id="rId36" Type="http://schemas.openxmlformats.org/officeDocument/2006/relationships/control" Target="../activeX/activeX18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control" Target="../activeX/activeX15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control" Target="../activeX/activeX13.xml"/><Relationship Id="rId30" Type="http://schemas.openxmlformats.org/officeDocument/2006/relationships/image" Target="../media/image13.emf"/><Relationship Id="rId35" Type="http://schemas.openxmlformats.org/officeDocument/2006/relationships/image" Target="../media/image15.emf"/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control" Target="../activeX/activeX12.xml"/><Relationship Id="rId33" Type="http://schemas.openxmlformats.org/officeDocument/2006/relationships/image" Target="../media/image14.emf"/><Relationship Id="rId38" Type="http://schemas.openxmlformats.org/officeDocument/2006/relationships/control" Target="../activeX/activeX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Y171"/>
  <sheetViews>
    <sheetView showGridLines="0" tabSelected="1" view="pageBreakPreview" zoomScale="145" zoomScaleNormal="100" zoomScaleSheetLayoutView="145" workbookViewId="0">
      <selection activeCell="AA79" sqref="AA79"/>
    </sheetView>
  </sheetViews>
  <sheetFormatPr defaultColWidth="9" defaultRowHeight="18.600000000000001"/>
  <cols>
    <col min="1" max="1" width="4.69921875" style="1" customWidth="1"/>
    <col min="2" max="2" width="9" style="1" customWidth="1"/>
    <col min="3" max="7" width="6.59765625" style="1" customWidth="1"/>
    <col min="8" max="8" width="1.59765625" style="1" customWidth="1"/>
    <col min="9" max="9" width="6.59765625" style="1" customWidth="1"/>
    <col min="10" max="10" width="1.59765625" style="1" customWidth="1"/>
    <col min="11" max="17" width="6.59765625" style="1" customWidth="1"/>
    <col min="18" max="18" width="1.59765625" style="1" customWidth="1"/>
    <col min="19" max="21" width="6.59765625" style="1" customWidth="1"/>
    <col min="22" max="22" width="6.59765625" style="2" customWidth="1"/>
    <col min="23" max="23" width="3.8984375" style="1" customWidth="1"/>
    <col min="24" max="24" width="6.19921875" style="1" customWidth="1"/>
    <col min="25" max="16384" width="9" style="1"/>
  </cols>
  <sheetData>
    <row r="1" spans="2:25">
      <c r="V1" s="1"/>
    </row>
    <row r="2" spans="2:25" ht="18" customHeight="1">
      <c r="B2" s="3"/>
      <c r="C2" s="4"/>
      <c r="D2" s="4"/>
      <c r="E2" s="4"/>
      <c r="F2" s="284" t="s">
        <v>0</v>
      </c>
      <c r="G2" s="284"/>
      <c r="H2" s="284"/>
      <c r="I2" s="284"/>
      <c r="J2" s="284"/>
      <c r="K2" s="284"/>
      <c r="L2" s="284"/>
      <c r="M2" s="284"/>
      <c r="N2" s="284"/>
      <c r="O2" s="285"/>
      <c r="P2" s="278" t="s">
        <v>62</v>
      </c>
      <c r="Q2" s="279"/>
      <c r="R2" s="46"/>
      <c r="S2" s="279"/>
      <c r="T2" s="279"/>
      <c r="U2" s="282"/>
      <c r="V2" s="43" t="s">
        <v>1</v>
      </c>
      <c r="W2" s="42" t="s">
        <v>2</v>
      </c>
    </row>
    <row r="3" spans="2:25" ht="18" customHeight="1">
      <c r="B3" s="5"/>
      <c r="F3" s="286"/>
      <c r="G3" s="286"/>
      <c r="H3" s="286"/>
      <c r="I3" s="286"/>
      <c r="J3" s="286"/>
      <c r="K3" s="286"/>
      <c r="L3" s="286"/>
      <c r="M3" s="286"/>
      <c r="N3" s="286"/>
      <c r="O3" s="287"/>
      <c r="P3" s="280"/>
      <c r="Q3" s="281"/>
      <c r="R3" s="47"/>
      <c r="S3" s="281"/>
      <c r="T3" s="281"/>
      <c r="U3" s="283"/>
      <c r="V3" s="261" t="s">
        <v>3</v>
      </c>
      <c r="W3" s="263"/>
    </row>
    <row r="4" spans="2:25" ht="31.2" customHeight="1">
      <c r="B4" s="6"/>
      <c r="C4" s="7"/>
      <c r="D4" s="7"/>
      <c r="E4" s="7"/>
      <c r="F4" s="288"/>
      <c r="G4" s="288"/>
      <c r="H4" s="288"/>
      <c r="I4" s="288"/>
      <c r="J4" s="288"/>
      <c r="K4" s="288"/>
      <c r="L4" s="288"/>
      <c r="M4" s="288"/>
      <c r="N4" s="288"/>
      <c r="O4" s="289"/>
      <c r="P4" s="275" t="s">
        <v>4</v>
      </c>
      <c r="Q4" s="276"/>
      <c r="R4" s="276"/>
      <c r="S4" s="276"/>
      <c r="T4" s="276"/>
      <c r="U4" s="277"/>
      <c r="V4" s="262"/>
      <c r="W4" s="263"/>
    </row>
    <row r="5" spans="2:25" ht="18" customHeight="1">
      <c r="B5" s="138" t="s">
        <v>5</v>
      </c>
      <c r="C5" s="265" t="s">
        <v>6</v>
      </c>
      <c r="D5" s="265"/>
      <c r="E5" s="266"/>
      <c r="F5" s="267"/>
      <c r="G5" s="267"/>
      <c r="H5" s="267"/>
      <c r="I5" s="267"/>
      <c r="J5" s="267"/>
      <c r="K5" s="267"/>
      <c r="L5" s="8"/>
      <c r="N5" s="8"/>
      <c r="O5" s="8"/>
      <c r="P5" s="8"/>
      <c r="Q5" s="8"/>
      <c r="R5" s="8"/>
      <c r="S5" s="8"/>
      <c r="T5" s="8"/>
      <c r="U5" s="9"/>
      <c r="V5" s="268" t="s">
        <v>7</v>
      </c>
      <c r="W5" s="293" t="s">
        <v>8</v>
      </c>
    </row>
    <row r="6" spans="2:25" ht="18" customHeight="1">
      <c r="B6" s="138"/>
      <c r="C6" s="271" t="s">
        <v>9</v>
      </c>
      <c r="D6" s="271"/>
      <c r="E6" s="272"/>
      <c r="F6" s="272"/>
      <c r="G6" s="272"/>
      <c r="H6" s="272"/>
      <c r="I6" s="272"/>
      <c r="J6" s="272"/>
      <c r="K6" s="272"/>
      <c r="N6" s="311" t="s">
        <v>93</v>
      </c>
      <c r="O6" s="311"/>
      <c r="P6" s="290"/>
      <c r="Q6" s="290"/>
      <c r="R6" s="50"/>
      <c r="S6" s="9" t="s">
        <v>63</v>
      </c>
      <c r="T6" s="51">
        <v>13</v>
      </c>
      <c r="U6" s="55" t="s">
        <v>67</v>
      </c>
      <c r="V6" s="269"/>
      <c r="W6" s="293"/>
    </row>
    <row r="7" spans="2:25" ht="18" customHeight="1">
      <c r="B7" s="138"/>
      <c r="C7" s="271" t="s">
        <v>10</v>
      </c>
      <c r="D7" s="271"/>
      <c r="E7" s="272"/>
      <c r="F7" s="272"/>
      <c r="G7" s="272"/>
      <c r="H7" s="272"/>
      <c r="I7" s="272"/>
      <c r="J7" s="272"/>
      <c r="K7" s="272"/>
      <c r="N7" s="44"/>
      <c r="O7" s="8"/>
      <c r="P7" s="8"/>
      <c r="Q7" s="8"/>
      <c r="R7" s="8"/>
      <c r="S7" s="8"/>
      <c r="U7" s="8"/>
      <c r="V7" s="269"/>
      <c r="W7" s="293"/>
    </row>
    <row r="8" spans="2:25" ht="18" customHeight="1">
      <c r="B8" s="138"/>
      <c r="C8" s="271" t="s">
        <v>11</v>
      </c>
      <c r="D8" s="271"/>
      <c r="E8" s="272"/>
      <c r="F8" s="272"/>
      <c r="G8" s="272"/>
      <c r="H8" s="272"/>
      <c r="I8" s="272"/>
      <c r="J8" s="272"/>
      <c r="K8" s="272"/>
      <c r="L8" s="11"/>
      <c r="N8" s="44"/>
      <c r="P8" s="8"/>
      <c r="Q8" s="8"/>
      <c r="R8" s="8"/>
      <c r="S8" s="8"/>
      <c r="T8" s="8"/>
      <c r="U8" s="8"/>
      <c r="V8" s="269"/>
      <c r="W8" s="293"/>
      <c r="Y8"/>
    </row>
    <row r="9" spans="2:25" ht="18" customHeight="1">
      <c r="B9" s="138"/>
      <c r="C9" s="271" t="s">
        <v>12</v>
      </c>
      <c r="D9" s="271"/>
      <c r="E9" s="272"/>
      <c r="F9" s="272"/>
      <c r="G9" s="272"/>
      <c r="H9" s="272"/>
      <c r="I9" s="272"/>
      <c r="J9" s="272"/>
      <c r="K9" s="272"/>
      <c r="Q9" s="8"/>
      <c r="R9" s="8"/>
      <c r="S9" s="8"/>
      <c r="T9" s="8"/>
      <c r="U9" s="8"/>
      <c r="V9" s="269"/>
      <c r="W9" s="293"/>
    </row>
    <row r="10" spans="2:25" ht="5.0999999999999996" customHeight="1">
      <c r="B10" s="264"/>
      <c r="C10" s="12"/>
      <c r="D10" s="10"/>
      <c r="E10" s="13"/>
      <c r="F10" s="13"/>
      <c r="G10" s="8"/>
      <c r="H10" s="8"/>
      <c r="I10" s="8"/>
      <c r="J10" s="8"/>
      <c r="K10" s="8"/>
      <c r="Q10" s="8"/>
      <c r="R10" s="8"/>
      <c r="S10" s="8"/>
      <c r="T10" s="8"/>
      <c r="V10" s="269"/>
      <c r="W10" s="293"/>
    </row>
    <row r="11" spans="2:25" ht="18" customHeight="1">
      <c r="B11" s="189" t="s">
        <v>13</v>
      </c>
      <c r="C11" s="273" t="s">
        <v>91</v>
      </c>
      <c r="D11" s="265"/>
      <c r="E11" s="274"/>
      <c r="F11" s="274"/>
      <c r="G11" s="274"/>
      <c r="H11" s="274"/>
      <c r="I11" s="274"/>
      <c r="J11" s="274"/>
      <c r="K11" s="274"/>
      <c r="L11" s="45"/>
      <c r="M11" s="326" t="s">
        <v>14</v>
      </c>
      <c r="N11" s="327"/>
      <c r="O11" s="102"/>
      <c r="P11" s="102"/>
      <c r="Q11" s="102"/>
      <c r="R11" s="102"/>
      <c r="S11" s="102"/>
      <c r="T11" s="102"/>
      <c r="U11" s="102"/>
      <c r="V11" s="269"/>
      <c r="W11" s="293"/>
    </row>
    <row r="12" spans="2:25" ht="18" customHeight="1">
      <c r="B12" s="190"/>
      <c r="C12" s="328" t="s">
        <v>94</v>
      </c>
      <c r="D12" s="329"/>
      <c r="E12" s="295"/>
      <c r="F12" s="295"/>
      <c r="G12" s="295"/>
      <c r="H12" s="295"/>
      <c r="I12" s="295"/>
      <c r="J12" s="295"/>
      <c r="K12" s="295"/>
      <c r="L12" s="296"/>
      <c r="M12" s="322"/>
      <c r="N12" s="323"/>
      <c r="O12" s="323"/>
      <c r="P12" s="323"/>
      <c r="Q12" s="323"/>
      <c r="R12" s="323"/>
      <c r="S12" s="323"/>
      <c r="T12" s="323"/>
      <c r="U12" s="323"/>
      <c r="V12" s="269"/>
      <c r="W12" s="293"/>
    </row>
    <row r="13" spans="2:25" ht="18" customHeight="1">
      <c r="B13" s="190"/>
      <c r="C13" s="302"/>
      <c r="D13" s="303"/>
      <c r="E13" s="303"/>
      <c r="F13" s="303"/>
      <c r="G13" s="303"/>
      <c r="H13" s="303"/>
      <c r="I13" s="303"/>
      <c r="J13" s="303"/>
      <c r="K13" s="303"/>
      <c r="L13" s="304"/>
      <c r="M13" s="322"/>
      <c r="N13" s="323"/>
      <c r="O13" s="323"/>
      <c r="P13" s="323"/>
      <c r="Q13" s="323"/>
      <c r="R13" s="323"/>
      <c r="S13" s="323"/>
      <c r="T13" s="323"/>
      <c r="U13" s="323"/>
      <c r="V13" s="269"/>
      <c r="W13" s="293"/>
    </row>
    <row r="14" spans="2:25" ht="18" customHeight="1">
      <c r="B14" s="190"/>
      <c r="C14" s="302"/>
      <c r="D14" s="303"/>
      <c r="E14" s="303"/>
      <c r="F14" s="303"/>
      <c r="G14" s="303"/>
      <c r="H14" s="303"/>
      <c r="I14" s="303"/>
      <c r="J14" s="303"/>
      <c r="K14" s="303"/>
      <c r="L14" s="304"/>
      <c r="M14" s="322"/>
      <c r="N14" s="323"/>
      <c r="O14" s="323"/>
      <c r="P14" s="323"/>
      <c r="Q14" s="323"/>
      <c r="R14" s="323"/>
      <c r="S14" s="323"/>
      <c r="T14" s="323"/>
      <c r="U14" s="323"/>
      <c r="V14" s="269"/>
      <c r="W14" s="293"/>
    </row>
    <row r="15" spans="2:25" ht="18" customHeight="1">
      <c r="B15" s="190"/>
      <c r="C15" s="302"/>
      <c r="D15" s="303"/>
      <c r="E15" s="303"/>
      <c r="F15" s="303"/>
      <c r="G15" s="303"/>
      <c r="H15" s="303"/>
      <c r="I15" s="303"/>
      <c r="J15" s="303"/>
      <c r="K15" s="303"/>
      <c r="L15" s="304"/>
      <c r="M15" s="322"/>
      <c r="N15" s="323"/>
      <c r="O15" s="323"/>
      <c r="P15" s="323"/>
      <c r="Q15" s="323"/>
      <c r="R15" s="323"/>
      <c r="S15" s="323"/>
      <c r="T15" s="323"/>
      <c r="U15" s="323"/>
      <c r="V15" s="269"/>
      <c r="W15" s="293"/>
    </row>
    <row r="16" spans="2:25" ht="18" customHeight="1">
      <c r="B16" s="190"/>
      <c r="C16" s="302"/>
      <c r="D16" s="303"/>
      <c r="E16" s="303"/>
      <c r="F16" s="303"/>
      <c r="G16" s="303"/>
      <c r="H16" s="303"/>
      <c r="I16" s="303"/>
      <c r="J16" s="303"/>
      <c r="K16" s="303"/>
      <c r="L16" s="304"/>
      <c r="M16" s="322"/>
      <c r="N16" s="323"/>
      <c r="O16" s="323"/>
      <c r="P16" s="323"/>
      <c r="Q16" s="323"/>
      <c r="R16" s="323"/>
      <c r="S16" s="323"/>
      <c r="T16" s="323"/>
      <c r="U16" s="323"/>
      <c r="V16" s="269"/>
      <c r="W16" s="293"/>
    </row>
    <row r="17" spans="2:23" ht="18" customHeight="1">
      <c r="B17" s="190"/>
      <c r="C17" s="305"/>
      <c r="D17" s="306"/>
      <c r="E17" s="306"/>
      <c r="F17" s="306"/>
      <c r="G17" s="306"/>
      <c r="H17" s="306"/>
      <c r="I17" s="306"/>
      <c r="J17" s="306"/>
      <c r="K17" s="306"/>
      <c r="L17" s="307"/>
      <c r="M17" s="324"/>
      <c r="N17" s="325"/>
      <c r="O17" s="325"/>
      <c r="P17" s="325"/>
      <c r="Q17" s="325"/>
      <c r="R17" s="325"/>
      <c r="S17" s="325"/>
      <c r="T17" s="325"/>
      <c r="U17" s="325"/>
      <c r="V17" s="270"/>
      <c r="W17" s="293"/>
    </row>
    <row r="18" spans="2:23" ht="30" customHeight="1">
      <c r="B18" s="190"/>
      <c r="D18" s="9" t="s">
        <v>66</v>
      </c>
      <c r="E18" s="222"/>
      <c r="F18" s="222"/>
      <c r="G18" s="222"/>
      <c r="H18" s="54"/>
      <c r="I18" s="159"/>
      <c r="J18" s="159"/>
      <c r="K18" s="159"/>
      <c r="N18" s="9" t="s">
        <v>66</v>
      </c>
      <c r="O18" s="301"/>
      <c r="P18" s="222"/>
      <c r="Q18" s="222"/>
      <c r="R18" s="54"/>
      <c r="S18" s="290"/>
      <c r="T18" s="290"/>
      <c r="V18" s="291"/>
      <c r="W18" s="293"/>
    </row>
    <row r="19" spans="2:23" ht="5.0999999999999996" customHeight="1">
      <c r="B19" s="190"/>
      <c r="D19" s="9"/>
      <c r="E19" s="9"/>
      <c r="F19" s="9"/>
      <c r="H19" s="50"/>
      <c r="I19" s="50"/>
      <c r="J19" s="50"/>
      <c r="M19" s="9"/>
      <c r="N19" s="9"/>
      <c r="O19" s="9"/>
      <c r="P19" s="9"/>
      <c r="Q19" s="9"/>
      <c r="R19" s="9"/>
      <c r="S19" s="9"/>
      <c r="T19" s="9"/>
      <c r="U19" s="9"/>
      <c r="V19" s="291"/>
      <c r="W19" s="293"/>
    </row>
    <row r="20" spans="2:23" ht="18" customHeight="1">
      <c r="B20" s="190"/>
      <c r="E20" s="115" t="s">
        <v>15</v>
      </c>
      <c r="F20" s="115"/>
      <c r="G20" s="115"/>
      <c r="O20" s="115" t="s">
        <v>64</v>
      </c>
      <c r="P20" s="115"/>
      <c r="Q20" s="115"/>
      <c r="R20" s="9"/>
      <c r="S20" s="9" t="s">
        <v>63</v>
      </c>
      <c r="T20" s="51"/>
      <c r="U20" s="1" t="s">
        <v>67</v>
      </c>
      <c r="V20" s="291"/>
      <c r="W20" s="293"/>
    </row>
    <row r="21" spans="2:23" ht="5.0999999999999996" customHeight="1">
      <c r="B21" s="190"/>
      <c r="E21" s="9"/>
      <c r="F21" s="9"/>
      <c r="G21" s="9"/>
      <c r="O21" s="9"/>
      <c r="P21" s="9"/>
      <c r="Q21" s="9"/>
      <c r="R21" s="9"/>
      <c r="S21" s="9"/>
      <c r="T21" s="52"/>
      <c r="V21" s="291"/>
      <c r="W21" s="293"/>
    </row>
    <row r="22" spans="2:23" ht="18" customHeight="1">
      <c r="B22" s="190"/>
      <c r="C22" s="56"/>
      <c r="D22" s="9"/>
      <c r="K22" s="9"/>
      <c r="N22" s="115" t="s">
        <v>68</v>
      </c>
      <c r="O22" s="115"/>
      <c r="P22" s="115"/>
      <c r="Q22" s="222" t="str">
        <f>IF(OR(S18="",T20=""),"",(HOUR((S18+T20)-(P6+T6))*60)+MINUTE((S18+T20)-(P6+T6)))</f>
        <v/>
      </c>
      <c r="R22" s="222"/>
      <c r="S22" s="9" t="s">
        <v>69</v>
      </c>
      <c r="V22" s="291"/>
      <c r="W22" s="293"/>
    </row>
    <row r="23" spans="2:23" ht="5.0999999999999996" customHeight="1">
      <c r="B23" s="191"/>
      <c r="C23" s="56"/>
      <c r="D23" s="9"/>
      <c r="K23" s="9"/>
      <c r="N23" s="9"/>
      <c r="O23" s="9"/>
      <c r="P23" s="9"/>
      <c r="V23" s="292"/>
      <c r="W23" s="294"/>
    </row>
    <row r="24" spans="2:23" ht="5.0999999999999996" customHeight="1">
      <c r="B24" s="297" t="s">
        <v>16</v>
      </c>
      <c r="C24" s="61"/>
      <c r="D24" s="62"/>
      <c r="E24" s="63"/>
      <c r="F24" s="63"/>
      <c r="G24" s="63"/>
      <c r="H24" s="63"/>
      <c r="I24" s="63"/>
      <c r="J24" s="63"/>
      <c r="K24" s="62"/>
      <c r="L24" s="63"/>
      <c r="M24" s="63"/>
      <c r="N24" s="62"/>
      <c r="O24" s="62"/>
      <c r="P24" s="62"/>
      <c r="Q24" s="63"/>
      <c r="R24" s="63"/>
      <c r="S24" s="63"/>
      <c r="T24" s="63"/>
      <c r="U24" s="64"/>
      <c r="V24" s="299"/>
      <c r="W24" s="300" t="s">
        <v>17</v>
      </c>
    </row>
    <row r="25" spans="2:23" ht="18" customHeight="1">
      <c r="B25" s="298"/>
      <c r="C25" s="53"/>
      <c r="F25" s="115" t="s">
        <v>70</v>
      </c>
      <c r="G25" s="115"/>
      <c r="H25" s="115"/>
      <c r="I25" s="159"/>
      <c r="J25" s="159"/>
      <c r="K25" s="159"/>
      <c r="L25" s="9" t="s">
        <v>63</v>
      </c>
      <c r="M25" s="51"/>
      <c r="N25" s="1" t="s">
        <v>67</v>
      </c>
      <c r="O25" s="9" t="s">
        <v>61</v>
      </c>
      <c r="P25" s="101" t="str">
        <f>IF(OR(I25="",M25=""),"",(HOUR((I25+M25)-(S18+T20))*60)+MINUTE((I25+M25)-(S18+T20)))</f>
        <v/>
      </c>
      <c r="Q25" s="1" t="s">
        <v>71</v>
      </c>
      <c r="U25" s="65"/>
      <c r="V25" s="291"/>
      <c r="W25" s="293"/>
    </row>
    <row r="26" spans="2:23" ht="5.0999999999999996" customHeight="1">
      <c r="B26" s="298"/>
      <c r="C26" s="58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60"/>
      <c r="V26" s="292"/>
      <c r="W26" s="294"/>
    </row>
    <row r="27" spans="2:23" ht="18" customHeight="1">
      <c r="B27" s="189" t="s">
        <v>18</v>
      </c>
      <c r="C27" s="209" t="s">
        <v>19</v>
      </c>
      <c r="D27" s="210"/>
      <c r="E27" s="210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57"/>
      <c r="V27" s="246" t="s">
        <v>3</v>
      </c>
      <c r="W27" s="219" t="s">
        <v>20</v>
      </c>
    </row>
    <row r="28" spans="2:23" ht="18" customHeight="1">
      <c r="B28" s="190"/>
      <c r="C28" s="9" t="s">
        <v>21</v>
      </c>
      <c r="D28" s="312"/>
      <c r="E28" s="312"/>
      <c r="F28" s="312"/>
      <c r="G28" s="312"/>
      <c r="H28" s="312"/>
      <c r="I28" s="312"/>
      <c r="J28" s="312"/>
      <c r="K28" s="312"/>
      <c r="L28" s="312"/>
      <c r="M28" s="312"/>
      <c r="N28" s="312"/>
      <c r="O28" s="312"/>
      <c r="P28" s="312"/>
      <c r="Q28" s="312"/>
      <c r="R28" s="312"/>
      <c r="S28" s="312"/>
      <c r="T28" s="312"/>
      <c r="U28" s="312"/>
      <c r="V28" s="247"/>
      <c r="W28" s="220"/>
    </row>
    <row r="29" spans="2:23" ht="18" customHeight="1">
      <c r="B29" s="190"/>
      <c r="C29" s="9" t="s">
        <v>22</v>
      </c>
      <c r="D29" s="312"/>
      <c r="E29" s="312"/>
      <c r="F29" s="312"/>
      <c r="G29" s="312"/>
      <c r="H29" s="312"/>
      <c r="I29" s="312"/>
      <c r="J29" s="312"/>
      <c r="K29" s="312"/>
      <c r="L29" s="312"/>
      <c r="M29" s="312"/>
      <c r="N29" s="312"/>
      <c r="O29" s="312"/>
      <c r="P29" s="312"/>
      <c r="Q29" s="312"/>
      <c r="R29" s="312"/>
      <c r="S29" s="312"/>
      <c r="T29" s="312"/>
      <c r="U29" s="312"/>
      <c r="V29" s="247"/>
      <c r="W29" s="220"/>
    </row>
    <row r="30" spans="2:23" ht="18" customHeight="1">
      <c r="B30" s="190"/>
      <c r="C30" s="9" t="s">
        <v>23</v>
      </c>
      <c r="D30" s="315"/>
      <c r="E30" s="315"/>
      <c r="F30" s="315"/>
      <c r="G30" s="315"/>
      <c r="H30" s="315"/>
      <c r="I30" s="315"/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247"/>
      <c r="W30" s="220"/>
    </row>
    <row r="31" spans="2:23" ht="18" customHeight="1">
      <c r="B31" s="190"/>
      <c r="C31" s="9"/>
      <c r="D31" s="316"/>
      <c r="E31" s="316"/>
      <c r="F31" s="316"/>
      <c r="G31" s="316"/>
      <c r="H31" s="316"/>
      <c r="I31" s="316"/>
      <c r="J31" s="316"/>
      <c r="K31" s="316"/>
      <c r="L31" s="316"/>
      <c r="M31" s="316"/>
      <c r="N31" s="316"/>
      <c r="O31" s="316"/>
      <c r="P31" s="316"/>
      <c r="Q31" s="316"/>
      <c r="R31" s="316"/>
      <c r="S31" s="316"/>
      <c r="T31" s="316"/>
      <c r="U31" s="316"/>
      <c r="V31" s="247"/>
      <c r="W31" s="220"/>
    </row>
    <row r="32" spans="2:23" ht="21.6" customHeight="1">
      <c r="B32" s="190"/>
      <c r="C32" s="308" t="s">
        <v>24</v>
      </c>
      <c r="D32" s="271"/>
      <c r="E32" s="317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247"/>
      <c r="W32" s="220"/>
    </row>
    <row r="33" spans="2:23" ht="21" customHeight="1">
      <c r="B33" s="190"/>
      <c r="C33" s="308" t="s">
        <v>25</v>
      </c>
      <c r="D33" s="271"/>
      <c r="E33" s="318"/>
      <c r="F33" s="318"/>
      <c r="G33" s="318"/>
      <c r="H33" s="318"/>
      <c r="I33" s="14" t="s">
        <v>26</v>
      </c>
      <c r="J33" s="14"/>
      <c r="K33" s="319"/>
      <c r="L33" s="319"/>
      <c r="M33" s="319"/>
      <c r="N33" s="15"/>
      <c r="O33" s="15"/>
      <c r="P33" s="17"/>
      <c r="Q33" s="15"/>
      <c r="R33" s="15"/>
      <c r="S33" s="15"/>
      <c r="T33" s="15"/>
      <c r="U33" s="16"/>
      <c r="V33" s="247"/>
      <c r="W33" s="220"/>
    </row>
    <row r="34" spans="2:23" ht="21" customHeight="1">
      <c r="B34" s="190"/>
      <c r="C34" s="320" t="s">
        <v>27</v>
      </c>
      <c r="D34" s="321"/>
      <c r="E34" s="249"/>
      <c r="F34" s="249"/>
      <c r="G34" s="249"/>
      <c r="H34" s="249"/>
      <c r="I34" s="14" t="s">
        <v>26</v>
      </c>
      <c r="J34" s="14"/>
      <c r="K34" s="249"/>
      <c r="L34" s="249"/>
      <c r="M34" s="249"/>
      <c r="N34" s="17"/>
      <c r="O34" s="17"/>
      <c r="P34" s="17"/>
      <c r="Q34" s="17"/>
      <c r="R34" s="17"/>
      <c r="S34" s="17"/>
      <c r="T34" s="17"/>
      <c r="U34" s="18"/>
      <c r="V34" s="247"/>
      <c r="W34" s="220"/>
    </row>
    <row r="35" spans="2:23" ht="5.0999999999999996" customHeight="1">
      <c r="B35" s="190"/>
      <c r="C35" s="250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47"/>
      <c r="W35" s="220"/>
    </row>
    <row r="36" spans="2:23" ht="5.0999999999999996" customHeight="1">
      <c r="B36" s="190"/>
      <c r="C36" s="67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9"/>
      <c r="V36" s="248"/>
      <c r="W36" s="220"/>
    </row>
    <row r="37" spans="2:23" ht="18" customHeight="1">
      <c r="B37" s="190"/>
      <c r="C37" s="53"/>
      <c r="F37" s="115" t="s">
        <v>72</v>
      </c>
      <c r="G37" s="115"/>
      <c r="H37" s="115"/>
      <c r="I37" s="159"/>
      <c r="J37" s="159"/>
      <c r="K37" s="159"/>
      <c r="L37" s="9" t="s">
        <v>63</v>
      </c>
      <c r="M37" s="51"/>
      <c r="N37" s="115" t="s">
        <v>74</v>
      </c>
      <c r="O37" s="115"/>
      <c r="P37" s="101" t="str">
        <f>IF(OR(I37="",M37=""),"",(HOUR((I37+M37)-(I25+M25))*60)+MINUTE((I37+M37)-(I25+M25)))</f>
        <v/>
      </c>
      <c r="Q37" s="1" t="s">
        <v>75</v>
      </c>
      <c r="U37" s="65"/>
      <c r="V37" s="248"/>
      <c r="W37" s="220"/>
    </row>
    <row r="38" spans="2:23" ht="5.0999999999999996" customHeight="1">
      <c r="B38" s="191"/>
      <c r="C38" s="70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71"/>
      <c r="V38" s="248"/>
      <c r="W38" s="221"/>
    </row>
    <row r="39" spans="2:23" s="19" customFormat="1" ht="18" customHeight="1">
      <c r="B39" s="189" t="s">
        <v>28</v>
      </c>
      <c r="C39" s="66"/>
      <c r="D39" s="223" t="s">
        <v>73</v>
      </c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199" t="s">
        <v>3</v>
      </c>
      <c r="W39" s="206" t="s">
        <v>29</v>
      </c>
    </row>
    <row r="40" spans="2:23" ht="18" customHeight="1">
      <c r="B40" s="190"/>
      <c r="C40" s="224" t="s">
        <v>30</v>
      </c>
      <c r="D40" s="225"/>
      <c r="E40" s="211" t="s">
        <v>31</v>
      </c>
      <c r="F40" s="244"/>
      <c r="G40" s="244"/>
      <c r="H40" s="244"/>
      <c r="I40" s="244"/>
      <c r="J40" s="212"/>
      <c r="K40" s="226" t="s">
        <v>32</v>
      </c>
      <c r="L40" s="226"/>
      <c r="M40" s="227" t="s">
        <v>33</v>
      </c>
      <c r="N40" s="20" t="s">
        <v>34</v>
      </c>
      <c r="O40" s="211" t="s">
        <v>35</v>
      </c>
      <c r="P40" s="212"/>
      <c r="Q40" s="228" t="s">
        <v>36</v>
      </c>
      <c r="R40" s="228"/>
      <c r="S40" s="228"/>
      <c r="T40" s="228"/>
      <c r="U40" s="228"/>
      <c r="V40" s="200"/>
      <c r="W40" s="207"/>
    </row>
    <row r="41" spans="2:23" ht="18" customHeight="1">
      <c r="B41" s="190"/>
      <c r="C41" s="224"/>
      <c r="D41" s="225"/>
      <c r="E41" s="213"/>
      <c r="F41" s="245"/>
      <c r="G41" s="245"/>
      <c r="H41" s="245"/>
      <c r="I41" s="245"/>
      <c r="J41" s="214"/>
      <c r="K41" s="229" t="s">
        <v>37</v>
      </c>
      <c r="L41" s="229"/>
      <c r="M41" s="227"/>
      <c r="N41" s="21" t="s">
        <v>38</v>
      </c>
      <c r="O41" s="213"/>
      <c r="P41" s="214"/>
      <c r="Q41" s="225"/>
      <c r="R41" s="228"/>
      <c r="S41" s="228"/>
      <c r="T41" s="228"/>
      <c r="U41" s="228"/>
      <c r="V41" s="200"/>
      <c r="W41" s="207"/>
    </row>
    <row r="42" spans="2:23" ht="18" customHeight="1">
      <c r="B42" s="190"/>
      <c r="C42" s="230"/>
      <c r="D42" s="231"/>
      <c r="E42" s="215"/>
      <c r="F42" s="237"/>
      <c r="G42" s="237"/>
      <c r="H42" s="237"/>
      <c r="I42" s="237"/>
      <c r="J42" s="216"/>
      <c r="K42" s="22"/>
      <c r="L42" s="24"/>
      <c r="M42" s="25"/>
      <c r="N42" s="25"/>
      <c r="O42" s="215"/>
      <c r="P42" s="216"/>
      <c r="Q42" s="22"/>
      <c r="R42" s="23"/>
      <c r="S42" s="23"/>
      <c r="T42" s="23"/>
      <c r="U42" s="23"/>
      <c r="V42" s="200"/>
      <c r="W42" s="207"/>
    </row>
    <row r="43" spans="2:23" ht="18" customHeight="1">
      <c r="B43" s="190"/>
      <c r="C43" s="232"/>
      <c r="D43" s="233"/>
      <c r="E43" s="217"/>
      <c r="F43" s="238"/>
      <c r="G43" s="238"/>
      <c r="H43" s="238"/>
      <c r="I43" s="238"/>
      <c r="J43" s="218"/>
      <c r="K43" s="26"/>
      <c r="L43" s="28"/>
      <c r="M43" s="29"/>
      <c r="N43" s="29"/>
      <c r="O43" s="217"/>
      <c r="P43" s="218"/>
      <c r="Q43" s="26"/>
      <c r="R43" s="27"/>
      <c r="S43" s="27"/>
      <c r="T43" s="27"/>
      <c r="U43" s="27"/>
      <c r="V43" s="200"/>
      <c r="W43" s="207"/>
    </row>
    <row r="44" spans="2:23" ht="18" customHeight="1">
      <c r="B44" s="190"/>
      <c r="C44" s="232"/>
      <c r="D44" s="233"/>
      <c r="E44" s="217"/>
      <c r="F44" s="238"/>
      <c r="G44" s="238"/>
      <c r="H44" s="238"/>
      <c r="I44" s="238"/>
      <c r="J44" s="218"/>
      <c r="K44" s="26"/>
      <c r="L44" s="28"/>
      <c r="M44" s="29"/>
      <c r="N44" s="29"/>
      <c r="O44" s="217"/>
      <c r="P44" s="218"/>
      <c r="Q44" s="26"/>
      <c r="R44" s="27"/>
      <c r="S44" s="27"/>
      <c r="T44" s="27"/>
      <c r="U44" s="27"/>
      <c r="V44" s="200"/>
      <c r="W44" s="207"/>
    </row>
    <row r="45" spans="2:23" ht="18" customHeight="1">
      <c r="B45" s="190"/>
      <c r="C45" s="230"/>
      <c r="D45" s="231"/>
      <c r="E45" s="239"/>
      <c r="F45" s="240"/>
      <c r="G45" s="240"/>
      <c r="H45" s="240"/>
      <c r="I45" s="240"/>
      <c r="J45" s="241"/>
      <c r="K45" s="30"/>
      <c r="L45" s="31"/>
      <c r="M45" s="74"/>
      <c r="N45" s="74"/>
      <c r="O45" s="257"/>
      <c r="P45" s="258"/>
      <c r="Q45" s="75"/>
      <c r="R45" s="76"/>
      <c r="S45" s="76"/>
      <c r="T45" s="76"/>
      <c r="U45" s="76"/>
      <c r="V45" s="200"/>
      <c r="W45" s="207"/>
    </row>
    <row r="46" spans="2:23" ht="18" customHeight="1">
      <c r="B46" s="190"/>
      <c r="C46" s="73"/>
      <c r="D46" s="32"/>
      <c r="E46" s="33"/>
      <c r="F46" s="33"/>
      <c r="G46" s="33"/>
      <c r="H46" s="33"/>
      <c r="I46" s="33"/>
      <c r="J46" s="33"/>
      <c r="K46" s="72"/>
      <c r="L46" s="33"/>
      <c r="M46" s="252" t="s">
        <v>39</v>
      </c>
      <c r="N46" s="253"/>
      <c r="O46" s="259"/>
      <c r="P46" s="260"/>
      <c r="Q46" s="254"/>
      <c r="R46" s="255"/>
      <c r="S46" s="255"/>
      <c r="T46" s="255"/>
      <c r="U46" s="256"/>
      <c r="V46" s="200"/>
      <c r="W46" s="207"/>
    </row>
    <row r="47" spans="2:23" ht="5.0999999999999996" customHeight="1">
      <c r="B47" s="190"/>
      <c r="C47" s="77"/>
      <c r="D47" s="78"/>
      <c r="E47" s="78"/>
      <c r="F47" s="78"/>
      <c r="G47" s="78"/>
      <c r="H47" s="78"/>
      <c r="I47" s="78"/>
      <c r="J47" s="78"/>
      <c r="K47" s="78"/>
      <c r="L47" s="78"/>
      <c r="M47" s="79"/>
      <c r="N47" s="79"/>
      <c r="O47" s="80"/>
      <c r="P47" s="80"/>
      <c r="Q47" s="78"/>
      <c r="R47" s="78"/>
      <c r="S47" s="78"/>
      <c r="T47" s="78"/>
      <c r="U47" s="100"/>
      <c r="V47" s="200"/>
      <c r="W47" s="207"/>
    </row>
    <row r="48" spans="2:23" ht="18" customHeight="1">
      <c r="B48" s="190"/>
      <c r="C48" s="314" t="s">
        <v>76</v>
      </c>
      <c r="D48" s="313"/>
      <c r="E48" s="159"/>
      <c r="F48" s="159"/>
      <c r="G48" s="9" t="s">
        <v>63</v>
      </c>
      <c r="H48" s="192"/>
      <c r="I48" s="192"/>
      <c r="J48" s="52" t="s">
        <v>67</v>
      </c>
      <c r="K48" s="9" t="s">
        <v>72</v>
      </c>
      <c r="L48" s="159"/>
      <c r="M48" s="159"/>
      <c r="N48" s="9" t="s">
        <v>63</v>
      </c>
      <c r="O48" s="51"/>
      <c r="P48" s="242" t="s">
        <v>82</v>
      </c>
      <c r="Q48" s="242"/>
      <c r="R48" s="83"/>
      <c r="S48" s="101" t="str">
        <f>IF(OR(E48="",H48="",L48="",O48=""),"",(HOUR((L48+O48)-(E48+H48))*60)+MINUTE((L48+O48)-(E48+H48)))</f>
        <v/>
      </c>
      <c r="T48" s="202" t="s">
        <v>77</v>
      </c>
      <c r="U48" s="243"/>
      <c r="V48" s="200"/>
      <c r="W48" s="207"/>
    </row>
    <row r="49" spans="2:23" ht="5.0999999999999996" customHeight="1">
      <c r="B49" s="191"/>
      <c r="C49" s="70"/>
      <c r="D49" s="49"/>
      <c r="E49" s="49"/>
      <c r="F49" s="49"/>
      <c r="G49" s="49"/>
      <c r="H49" s="49"/>
      <c r="I49" s="81"/>
      <c r="J49" s="81"/>
      <c r="K49" s="81"/>
      <c r="L49" s="81"/>
      <c r="M49" s="49"/>
      <c r="N49" s="49"/>
      <c r="O49" s="49"/>
      <c r="P49" s="49"/>
      <c r="Q49" s="49"/>
      <c r="R49" s="49"/>
      <c r="S49" s="49"/>
      <c r="T49" s="49"/>
      <c r="U49" s="71"/>
      <c r="V49" s="201"/>
      <c r="W49" s="208"/>
    </row>
    <row r="50" spans="2:23" ht="18" customHeight="1">
      <c r="B50" s="189" t="s">
        <v>40</v>
      </c>
      <c r="C50" s="308" t="s">
        <v>92</v>
      </c>
      <c r="D50" s="308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10"/>
      <c r="V50" s="199" t="s">
        <v>3</v>
      </c>
      <c r="W50" s="206" t="s">
        <v>41</v>
      </c>
    </row>
    <row r="51" spans="2:23" ht="18" customHeight="1">
      <c r="B51" s="190"/>
      <c r="C51" s="234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6"/>
      <c r="V51" s="200"/>
      <c r="W51" s="207"/>
    </row>
    <row r="52" spans="2:23" ht="18" customHeight="1">
      <c r="B52" s="190"/>
      <c r="C52" s="234"/>
      <c r="D52" s="235"/>
      <c r="E52" s="235"/>
      <c r="F52" s="235"/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36"/>
      <c r="V52" s="200"/>
      <c r="W52" s="207"/>
    </row>
    <row r="53" spans="2:23" ht="18" customHeight="1">
      <c r="B53" s="190"/>
      <c r="C53" s="234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6"/>
      <c r="V53" s="200"/>
      <c r="W53" s="207"/>
    </row>
    <row r="54" spans="2:23" ht="30" customHeight="1">
      <c r="B54" s="190"/>
      <c r="C54" s="4"/>
      <c r="D54" s="48" t="s">
        <v>66</v>
      </c>
      <c r="E54" s="222"/>
      <c r="F54" s="222"/>
      <c r="G54" s="222"/>
      <c r="H54" s="4"/>
      <c r="I54" s="4" t="s">
        <v>78</v>
      </c>
      <c r="J54" s="4"/>
      <c r="K54" s="4"/>
      <c r="L54" s="4"/>
      <c r="M54" s="4"/>
      <c r="N54" s="48" t="s">
        <v>66</v>
      </c>
      <c r="O54" s="222"/>
      <c r="P54" s="222"/>
      <c r="Q54" s="222"/>
      <c r="R54" s="4"/>
      <c r="S54" s="4" t="s">
        <v>79</v>
      </c>
      <c r="T54" s="4"/>
      <c r="U54" s="4"/>
      <c r="V54" s="200"/>
      <c r="W54" s="207"/>
    </row>
    <row r="55" spans="2:23" ht="5.0999999999999996" customHeight="1">
      <c r="B55" s="190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200"/>
      <c r="W55" s="207"/>
    </row>
    <row r="56" spans="2:23" ht="18" customHeight="1">
      <c r="B56" s="190"/>
      <c r="C56" s="313" t="s">
        <v>80</v>
      </c>
      <c r="D56" s="313"/>
      <c r="E56" s="159"/>
      <c r="F56" s="159"/>
      <c r="G56" s="9" t="s">
        <v>63</v>
      </c>
      <c r="H56" s="192"/>
      <c r="I56" s="192"/>
      <c r="J56" s="52" t="s">
        <v>67</v>
      </c>
      <c r="K56" s="9" t="s">
        <v>72</v>
      </c>
      <c r="L56" s="159"/>
      <c r="M56" s="159"/>
      <c r="N56" s="9" t="s">
        <v>63</v>
      </c>
      <c r="O56" s="51"/>
      <c r="P56" s="193" t="s">
        <v>83</v>
      </c>
      <c r="Q56" s="193"/>
      <c r="R56" s="83"/>
      <c r="S56" s="101" t="str">
        <f>IF(OR(E56="",H56="",L56="",O56=""),"",(HOUR((L56+O56)-(E56+H56))*60)+MINUTE((L56+O56)-(E56+H56)))</f>
        <v/>
      </c>
      <c r="T56" s="202" t="s">
        <v>81</v>
      </c>
      <c r="U56" s="202"/>
      <c r="V56" s="200"/>
      <c r="W56" s="207"/>
    </row>
    <row r="57" spans="2:23" ht="5.0999999999999996" customHeight="1">
      <c r="B57" s="191"/>
      <c r="C57" s="9"/>
      <c r="D57" s="9"/>
      <c r="E57" s="84"/>
      <c r="F57" s="84"/>
      <c r="G57" s="9"/>
      <c r="H57" s="9"/>
      <c r="I57" s="9"/>
      <c r="J57" s="9"/>
      <c r="K57" s="9"/>
      <c r="L57" s="9"/>
      <c r="M57" s="9"/>
      <c r="N57" s="9"/>
      <c r="O57" s="84"/>
      <c r="P57" s="9"/>
      <c r="Q57" s="9"/>
      <c r="R57" s="9"/>
      <c r="S57" s="9"/>
      <c r="T57" s="9"/>
      <c r="U57" s="9"/>
      <c r="V57" s="201"/>
      <c r="W57" s="208"/>
    </row>
    <row r="58" spans="2:23" ht="30" customHeight="1">
      <c r="B58" s="194" t="s">
        <v>42</v>
      </c>
      <c r="C58" s="63" t="s">
        <v>43</v>
      </c>
      <c r="D58" s="62" t="s">
        <v>66</v>
      </c>
      <c r="E58" s="163"/>
      <c r="F58" s="163"/>
      <c r="G58" s="163"/>
      <c r="H58" s="63"/>
      <c r="I58" s="63" t="s">
        <v>78</v>
      </c>
      <c r="J58" s="63"/>
      <c r="K58" s="63"/>
      <c r="L58" s="63"/>
      <c r="M58" s="63"/>
      <c r="N58" s="62" t="s">
        <v>66</v>
      </c>
      <c r="O58" s="163"/>
      <c r="P58" s="163"/>
      <c r="Q58" s="163"/>
      <c r="R58" s="63"/>
      <c r="S58" s="63" t="s">
        <v>79</v>
      </c>
      <c r="T58" s="63"/>
      <c r="U58" s="63"/>
      <c r="V58" s="199" t="s">
        <v>44</v>
      </c>
      <c r="W58" s="206" t="s">
        <v>45</v>
      </c>
    </row>
    <row r="59" spans="2:23" ht="5.0999999999999996" customHeight="1">
      <c r="B59" s="195"/>
      <c r="D59" s="9"/>
      <c r="E59" s="9"/>
      <c r="F59" s="9"/>
      <c r="G59" s="9"/>
      <c r="N59" s="9"/>
      <c r="O59" s="9"/>
      <c r="P59" s="9"/>
      <c r="Q59" s="9"/>
      <c r="V59" s="200"/>
      <c r="W59" s="207"/>
    </row>
    <row r="60" spans="2:23" ht="18" customHeight="1">
      <c r="B60" s="195"/>
      <c r="F60" s="203" t="s">
        <v>84</v>
      </c>
      <c r="G60" s="203"/>
      <c r="H60" s="54"/>
      <c r="I60" s="159"/>
      <c r="J60" s="159"/>
      <c r="K60" s="159"/>
      <c r="L60" s="9" t="s">
        <v>63</v>
      </c>
      <c r="M60" s="51"/>
      <c r="N60" s="83" t="s">
        <v>67</v>
      </c>
      <c r="O60" s="115" t="s">
        <v>85</v>
      </c>
      <c r="P60" s="115"/>
      <c r="Q60" s="101" t="str">
        <f>IF(OR(I60="",M60=""),"",(HOUR((I60+M60)-(L56+O56))*60)+MINUTE((I60+M60)-(L56+O56)))</f>
        <v/>
      </c>
      <c r="R60" s="202" t="s">
        <v>86</v>
      </c>
      <c r="S60" s="202"/>
      <c r="V60" s="200"/>
      <c r="W60" s="207"/>
    </row>
    <row r="61" spans="2:23" ht="5.0999999999999996" customHeight="1">
      <c r="B61" s="196"/>
      <c r="G61" s="82"/>
      <c r="H61" s="82"/>
      <c r="I61" s="50"/>
      <c r="J61" s="50"/>
      <c r="K61" s="50"/>
      <c r="M61" s="49"/>
      <c r="N61" s="49"/>
      <c r="O61" s="49"/>
      <c r="P61" s="49"/>
      <c r="Q61" s="85"/>
      <c r="T61" s="49"/>
      <c r="U61" s="49"/>
      <c r="V61" s="201"/>
      <c r="W61" s="208"/>
    </row>
    <row r="62" spans="2:23" ht="30" customHeight="1">
      <c r="B62" s="181" t="s">
        <v>46</v>
      </c>
      <c r="C62" s="89" t="s">
        <v>66</v>
      </c>
      <c r="D62" s="163"/>
      <c r="E62" s="163"/>
      <c r="F62" s="163"/>
      <c r="G62" s="163"/>
      <c r="H62" s="63"/>
      <c r="I62" s="63" t="s">
        <v>89</v>
      </c>
      <c r="J62" s="63"/>
      <c r="K62" s="63"/>
      <c r="L62" s="90"/>
      <c r="M62" s="160" t="s">
        <v>87</v>
      </c>
      <c r="N62" s="160"/>
      <c r="O62" s="160"/>
      <c r="P62" s="160"/>
      <c r="Q62" s="149" t="str">
        <f>IF(AND(Q22="",P25="",P37="",S48="",S56="",Q60=""),"",IF(Q22="",0,Q22)+IF(P25="",0,P25)+IF(P37="",0,P37)+IF(S48="",0,S48)+IF(S56="",0,S56)+IF(Q60="",0,Q60))</f>
        <v/>
      </c>
      <c r="R62" s="149"/>
      <c r="S62" s="149"/>
      <c r="T62" s="151" t="s">
        <v>88</v>
      </c>
      <c r="U62" s="152"/>
      <c r="V62" s="183" t="s">
        <v>47</v>
      </c>
      <c r="W62" s="135" t="s">
        <v>48</v>
      </c>
    </row>
    <row r="63" spans="2:23" ht="5.0999999999999996" customHeight="1">
      <c r="B63" s="181"/>
      <c r="C63" s="91"/>
      <c r="D63" s="9"/>
      <c r="E63" s="9"/>
      <c r="F63" s="9"/>
      <c r="G63" s="88"/>
      <c r="H63" s="88"/>
      <c r="I63" s="88"/>
      <c r="J63" s="88"/>
      <c r="K63" s="88"/>
      <c r="L63" s="92"/>
      <c r="M63" s="161"/>
      <c r="N63" s="161"/>
      <c r="O63" s="161"/>
      <c r="P63" s="161"/>
      <c r="Q63" s="150"/>
      <c r="R63" s="150"/>
      <c r="S63" s="150"/>
      <c r="T63" s="153"/>
      <c r="U63" s="154"/>
      <c r="V63" s="183"/>
      <c r="W63" s="135"/>
    </row>
    <row r="64" spans="2:23">
      <c r="B64" s="182"/>
      <c r="C64" s="93"/>
      <c r="D64" s="9" t="s">
        <v>90</v>
      </c>
      <c r="E64" s="159" t="str">
        <f>IF(I60="","",I60)</f>
        <v/>
      </c>
      <c r="F64" s="159"/>
      <c r="G64" s="54"/>
      <c r="H64" s="87"/>
      <c r="I64" s="87"/>
      <c r="J64" s="87"/>
      <c r="K64" s="86"/>
      <c r="L64" s="92"/>
      <c r="M64" s="161"/>
      <c r="N64" s="161"/>
      <c r="O64" s="161"/>
      <c r="P64" s="161"/>
      <c r="Q64" s="150"/>
      <c r="R64" s="150"/>
      <c r="S64" s="150"/>
      <c r="T64" s="153"/>
      <c r="U64" s="154"/>
      <c r="V64" s="135"/>
      <c r="W64" s="135"/>
    </row>
    <row r="65" spans="2:23" ht="5.0999999999999996" customHeight="1">
      <c r="B65" s="182"/>
      <c r="C65" s="93"/>
      <c r="D65" s="9"/>
      <c r="E65" s="50"/>
      <c r="F65" s="50"/>
      <c r="G65" s="54"/>
      <c r="H65" s="87"/>
      <c r="I65" s="87"/>
      <c r="J65" s="87"/>
      <c r="K65" s="87"/>
      <c r="L65" s="92"/>
      <c r="M65" s="161"/>
      <c r="N65" s="161"/>
      <c r="O65" s="161"/>
      <c r="P65" s="161"/>
      <c r="Q65" s="150"/>
      <c r="R65" s="150"/>
      <c r="S65" s="150"/>
      <c r="T65" s="153"/>
      <c r="U65" s="154"/>
      <c r="V65" s="135"/>
      <c r="W65" s="135"/>
    </row>
    <row r="66" spans="2:23" ht="24.9" customHeight="1">
      <c r="B66" s="182"/>
      <c r="C66" s="94"/>
      <c r="D66" s="95"/>
      <c r="E66" s="96"/>
      <c r="F66" s="97"/>
      <c r="G66" s="97"/>
      <c r="H66" s="98"/>
      <c r="I66" s="97"/>
      <c r="J66" s="97"/>
      <c r="K66" s="97"/>
      <c r="L66" s="99"/>
      <c r="M66" s="162"/>
      <c r="N66" s="162"/>
      <c r="O66" s="162"/>
      <c r="P66" s="162"/>
      <c r="Q66" s="150"/>
      <c r="R66" s="150"/>
      <c r="S66" s="150"/>
      <c r="T66" s="153"/>
      <c r="U66" s="154"/>
      <c r="V66" s="135"/>
      <c r="W66" s="135"/>
    </row>
    <row r="67" spans="2:23" ht="18" customHeight="1">
      <c r="B67" s="136" t="s">
        <v>49</v>
      </c>
      <c r="C67" s="137" t="s">
        <v>50</v>
      </c>
      <c r="D67" s="137"/>
      <c r="E67" s="137"/>
      <c r="F67" s="137"/>
      <c r="G67" s="137"/>
      <c r="H67" s="137"/>
      <c r="I67" s="137"/>
      <c r="J67" s="137"/>
      <c r="K67" s="137"/>
      <c r="L67" s="137"/>
      <c r="M67" s="138"/>
      <c r="N67" s="197" t="s">
        <v>51</v>
      </c>
      <c r="O67" s="157"/>
      <c r="P67" s="198"/>
      <c r="Q67" s="139" t="s">
        <v>52</v>
      </c>
      <c r="R67" s="139"/>
      <c r="S67" s="139"/>
      <c r="T67" s="139"/>
      <c r="U67" s="139"/>
      <c r="V67" s="140" t="s">
        <v>53</v>
      </c>
      <c r="W67" s="141"/>
    </row>
    <row r="68" spans="2:23" ht="18" customHeight="1">
      <c r="B68" s="136"/>
      <c r="C68" s="142" t="s">
        <v>54</v>
      </c>
      <c r="D68" s="330"/>
      <c r="E68" s="331"/>
      <c r="F68" s="331"/>
      <c r="G68" s="331"/>
      <c r="H68" s="331"/>
      <c r="I68" s="331"/>
      <c r="J68" s="331"/>
      <c r="K68" s="331"/>
      <c r="L68" s="331"/>
      <c r="M68" s="332"/>
      <c r="N68" s="186"/>
      <c r="O68" s="187"/>
      <c r="P68" s="188"/>
      <c r="Q68" s="143"/>
      <c r="R68" s="143"/>
      <c r="S68" s="143"/>
      <c r="T68" s="143"/>
      <c r="U68" s="143"/>
      <c r="V68" s="140"/>
      <c r="W68" s="141"/>
    </row>
    <row r="69" spans="2:23" ht="18" customHeight="1">
      <c r="B69" s="136"/>
      <c r="C69" s="142"/>
      <c r="D69" s="333"/>
      <c r="E69" s="334"/>
      <c r="F69" s="334"/>
      <c r="G69" s="334"/>
      <c r="H69" s="334"/>
      <c r="I69" s="334"/>
      <c r="J69" s="334"/>
      <c r="K69" s="334"/>
      <c r="L69" s="334"/>
      <c r="M69" s="335"/>
      <c r="N69" s="172"/>
      <c r="O69" s="173"/>
      <c r="P69" s="174"/>
      <c r="Q69" s="144"/>
      <c r="R69" s="144"/>
      <c r="S69" s="144"/>
      <c r="T69" s="144"/>
      <c r="U69" s="144"/>
      <c r="V69" s="140"/>
      <c r="W69" s="141"/>
    </row>
    <row r="70" spans="2:23" ht="18" customHeight="1">
      <c r="B70" s="136"/>
      <c r="C70" s="142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72"/>
      <c r="O70" s="173"/>
      <c r="P70" s="174"/>
      <c r="Q70" s="146"/>
      <c r="R70" s="146"/>
      <c r="S70" s="146"/>
      <c r="T70" s="146"/>
      <c r="U70" s="146"/>
      <c r="V70" s="140"/>
      <c r="W70" s="141"/>
    </row>
    <row r="71" spans="2:23" ht="18" customHeight="1">
      <c r="B71" s="136"/>
      <c r="C71" s="142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75"/>
      <c r="O71" s="176"/>
      <c r="P71" s="177"/>
      <c r="Q71" s="171"/>
      <c r="R71" s="171"/>
      <c r="S71" s="171"/>
      <c r="T71" s="171"/>
      <c r="U71" s="171"/>
      <c r="V71" s="140"/>
      <c r="W71" s="141"/>
    </row>
    <row r="72" spans="2:23" ht="18" customHeight="1">
      <c r="B72" s="136"/>
      <c r="C72" s="204" t="s">
        <v>55</v>
      </c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186"/>
      <c r="O72" s="187"/>
      <c r="P72" s="188"/>
      <c r="Q72" s="184"/>
      <c r="R72" s="184"/>
      <c r="S72" s="184"/>
      <c r="T72" s="184"/>
      <c r="U72" s="184"/>
      <c r="V72" s="140"/>
      <c r="W72" s="141"/>
    </row>
    <row r="73" spans="2:23" ht="18" customHeight="1">
      <c r="B73" s="136"/>
      <c r="C73" s="204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72"/>
      <c r="O73" s="173"/>
      <c r="P73" s="174"/>
      <c r="Q73" s="144"/>
      <c r="R73" s="144"/>
      <c r="S73" s="144"/>
      <c r="T73" s="144"/>
      <c r="U73" s="144"/>
      <c r="V73" s="140"/>
      <c r="W73" s="141"/>
    </row>
    <row r="74" spans="2:23" ht="18" customHeight="1">
      <c r="B74" s="136"/>
      <c r="C74" s="204"/>
      <c r="D74" s="164" t="s">
        <v>65</v>
      </c>
      <c r="E74" s="164"/>
      <c r="F74" s="164"/>
      <c r="G74" s="164"/>
      <c r="H74" s="164"/>
      <c r="I74" s="164"/>
      <c r="J74" s="164"/>
      <c r="K74" s="164"/>
      <c r="L74" s="164"/>
      <c r="M74" s="164"/>
      <c r="N74" s="172"/>
      <c r="O74" s="173"/>
      <c r="P74" s="174"/>
      <c r="Q74" s="146"/>
      <c r="R74" s="146"/>
      <c r="S74" s="146"/>
      <c r="T74" s="146"/>
      <c r="U74" s="146"/>
      <c r="V74" s="140"/>
      <c r="W74" s="141"/>
    </row>
    <row r="75" spans="2:23" ht="18" customHeight="1">
      <c r="B75" s="136"/>
      <c r="C75" s="204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75"/>
      <c r="O75" s="176"/>
      <c r="P75" s="177"/>
      <c r="Q75" s="171"/>
      <c r="R75" s="171"/>
      <c r="S75" s="171"/>
      <c r="T75" s="171"/>
      <c r="U75" s="171"/>
      <c r="V75" s="140"/>
      <c r="W75" s="141"/>
    </row>
    <row r="76" spans="2:23" ht="18" customHeight="1">
      <c r="B76" s="136"/>
      <c r="C76" s="34"/>
      <c r="D76" s="157" t="s">
        <v>56</v>
      </c>
      <c r="E76" s="157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7"/>
      <c r="R76" s="157"/>
      <c r="S76" s="157"/>
      <c r="T76" s="157"/>
      <c r="U76" s="157"/>
      <c r="V76" s="140"/>
      <c r="W76" s="141"/>
    </row>
    <row r="77" spans="2:23" ht="24.9" customHeight="1">
      <c r="B77" s="136"/>
      <c r="C77" s="155"/>
      <c r="D77" s="156"/>
      <c r="E77" s="156"/>
      <c r="F77" s="165"/>
      <c r="G77" s="166"/>
      <c r="H77" s="166"/>
      <c r="I77" s="167"/>
      <c r="J77" s="178"/>
      <c r="K77" s="179"/>
      <c r="L77" s="179"/>
      <c r="M77" s="180"/>
      <c r="N77" s="126"/>
      <c r="O77" s="127"/>
      <c r="P77" s="128"/>
      <c r="Q77" s="109"/>
      <c r="R77" s="110"/>
      <c r="S77" s="110"/>
      <c r="T77" s="110"/>
      <c r="U77" s="111"/>
      <c r="V77" s="140"/>
      <c r="W77" s="141"/>
    </row>
    <row r="78" spans="2:23" ht="24.9" customHeight="1">
      <c r="B78" s="136"/>
      <c r="C78" s="35"/>
      <c r="D78" s="36"/>
      <c r="E78" s="36"/>
      <c r="F78" s="168"/>
      <c r="G78" s="169"/>
      <c r="H78" s="169"/>
      <c r="I78" s="170"/>
      <c r="J78" s="168"/>
      <c r="K78" s="169"/>
      <c r="L78" s="169"/>
      <c r="M78" s="170"/>
      <c r="N78" s="129"/>
      <c r="O78" s="130"/>
      <c r="P78" s="131"/>
      <c r="Q78" s="112"/>
      <c r="R78" s="102"/>
      <c r="S78" s="102"/>
      <c r="T78" s="102"/>
      <c r="U78" s="113"/>
      <c r="V78" s="140"/>
      <c r="W78" s="141"/>
    </row>
    <row r="79" spans="2:23" ht="24.9" customHeight="1">
      <c r="B79" s="136"/>
      <c r="C79" s="37"/>
      <c r="D79" s="38"/>
      <c r="E79" s="38"/>
      <c r="F79" s="120"/>
      <c r="G79" s="121"/>
      <c r="H79" s="121"/>
      <c r="I79" s="122"/>
      <c r="J79" s="120"/>
      <c r="K79" s="121"/>
      <c r="L79" s="121"/>
      <c r="M79" s="122"/>
      <c r="N79" s="132"/>
      <c r="O79" s="133"/>
      <c r="P79" s="134"/>
      <c r="Q79" s="114"/>
      <c r="R79" s="115"/>
      <c r="S79" s="115"/>
      <c r="T79" s="115"/>
      <c r="U79" s="116"/>
      <c r="V79" s="140"/>
      <c r="W79" s="141"/>
    </row>
    <row r="80" spans="2:23" ht="24.9" customHeight="1">
      <c r="B80" s="136"/>
      <c r="C80" s="39"/>
      <c r="D80" s="40"/>
      <c r="E80" s="40"/>
      <c r="F80" s="123" t="s">
        <v>43</v>
      </c>
      <c r="G80" s="124"/>
      <c r="H80" s="124"/>
      <c r="I80" s="125"/>
      <c r="J80" s="123"/>
      <c r="K80" s="124"/>
      <c r="L80" s="124"/>
      <c r="M80" s="125"/>
      <c r="N80" s="123"/>
      <c r="O80" s="124"/>
      <c r="P80" s="125"/>
      <c r="Q80" s="117"/>
      <c r="R80" s="118"/>
      <c r="S80" s="118"/>
      <c r="T80" s="118"/>
      <c r="U80" s="119"/>
      <c r="V80" s="140"/>
      <c r="W80" s="141"/>
    </row>
    <row r="81" spans="2:23" ht="30" customHeight="1">
      <c r="B81" s="148" t="s">
        <v>57</v>
      </c>
      <c r="C81" s="103" t="s">
        <v>58</v>
      </c>
      <c r="D81" s="104"/>
      <c r="E81" s="104"/>
      <c r="F81" s="104"/>
      <c r="G81" s="104"/>
      <c r="H81" s="104"/>
      <c r="I81" s="104"/>
      <c r="J81" s="104"/>
      <c r="K81" s="104"/>
      <c r="L81" s="105"/>
      <c r="M81" s="103" t="s">
        <v>59</v>
      </c>
      <c r="N81" s="104"/>
      <c r="O81" s="104"/>
      <c r="P81" s="104"/>
      <c r="Q81" s="104"/>
      <c r="R81" s="104"/>
      <c r="S81" s="104"/>
      <c r="T81" s="104"/>
      <c r="U81" s="105"/>
      <c r="V81" s="135" t="s">
        <v>60</v>
      </c>
      <c r="W81" s="141"/>
    </row>
    <row r="82" spans="2:23" ht="18.75" customHeight="1">
      <c r="B82" s="148"/>
      <c r="C82" s="106"/>
      <c r="D82" s="107"/>
      <c r="E82" s="107"/>
      <c r="F82" s="107"/>
      <c r="G82" s="107"/>
      <c r="H82" s="107"/>
      <c r="I82" s="107"/>
      <c r="J82" s="107"/>
      <c r="K82" s="107"/>
      <c r="L82" s="108"/>
      <c r="M82" s="106"/>
      <c r="N82" s="107"/>
      <c r="O82" s="107"/>
      <c r="P82" s="107"/>
      <c r="Q82" s="107"/>
      <c r="R82" s="107"/>
      <c r="S82" s="107"/>
      <c r="T82" s="107"/>
      <c r="U82" s="108"/>
      <c r="V82" s="135"/>
      <c r="W82" s="141"/>
    </row>
    <row r="83" spans="2:23">
      <c r="B83" s="102" t="s">
        <v>95</v>
      </c>
      <c r="C83" s="102"/>
      <c r="D83" s="102"/>
      <c r="E83" s="102"/>
      <c r="F83" s="4"/>
      <c r="G83" s="4"/>
      <c r="H83" s="4"/>
      <c r="I83" s="4"/>
      <c r="J83" s="4"/>
      <c r="K83" s="4"/>
      <c r="L83" s="102" t="s">
        <v>96</v>
      </c>
      <c r="M83" s="102"/>
      <c r="T83" s="102" t="s">
        <v>97</v>
      </c>
      <c r="U83" s="102"/>
      <c r="V83" s="102"/>
      <c r="W83" s="102"/>
    </row>
    <row r="84" spans="2:23">
      <c r="V84" s="1"/>
    </row>
    <row r="85" spans="2:23">
      <c r="V85" s="1"/>
    </row>
    <row r="86" spans="2:23">
      <c r="V86" s="1"/>
    </row>
    <row r="87" spans="2:23">
      <c r="V87" s="1"/>
    </row>
    <row r="88" spans="2:23">
      <c r="V88" s="1"/>
    </row>
    <row r="89" spans="2:23">
      <c r="V89" s="1"/>
    </row>
    <row r="90" spans="2:23">
      <c r="V90" s="1"/>
    </row>
    <row r="91" spans="2:23">
      <c r="V91" s="1"/>
    </row>
    <row r="92" spans="2:23">
      <c r="V92" s="1"/>
    </row>
    <row r="93" spans="2:23">
      <c r="V93" s="1"/>
    </row>
    <row r="94" spans="2:23">
      <c r="V94" s="1"/>
    </row>
    <row r="95" spans="2:23">
      <c r="V95" s="1"/>
    </row>
    <row r="96" spans="2:23">
      <c r="V96" s="1"/>
    </row>
    <row r="97" spans="22:22">
      <c r="V97" s="1"/>
    </row>
    <row r="98" spans="22:22">
      <c r="V98" s="1"/>
    </row>
    <row r="99" spans="22:22">
      <c r="V99" s="1"/>
    </row>
    <row r="100" spans="22:22">
      <c r="V100" s="1"/>
    </row>
    <row r="101" spans="22:22">
      <c r="V101" s="1"/>
    </row>
    <row r="102" spans="22:22">
      <c r="V102" s="1"/>
    </row>
    <row r="103" spans="22:22">
      <c r="V103" s="1"/>
    </row>
    <row r="104" spans="22:22">
      <c r="V104" s="1"/>
    </row>
    <row r="105" spans="22:22">
      <c r="V105" s="1"/>
    </row>
    <row r="106" spans="22:22">
      <c r="V106" s="1"/>
    </row>
    <row r="107" spans="22:22">
      <c r="V107" s="1"/>
    </row>
    <row r="108" spans="22:22">
      <c r="V108" s="1"/>
    </row>
    <row r="109" spans="22:22">
      <c r="V109" s="1"/>
    </row>
    <row r="110" spans="22:22">
      <c r="V110" s="1"/>
    </row>
    <row r="111" spans="22:22">
      <c r="V111" s="1"/>
    </row>
    <row r="112" spans="22:22">
      <c r="V112" s="1"/>
    </row>
    <row r="113" spans="22:22">
      <c r="V113" s="1"/>
    </row>
    <row r="114" spans="22:22">
      <c r="V114" s="1"/>
    </row>
    <row r="115" spans="22:22">
      <c r="V115" s="1"/>
    </row>
    <row r="116" spans="22:22">
      <c r="V116" s="1"/>
    </row>
    <row r="117" spans="22:22">
      <c r="V117" s="1"/>
    </row>
    <row r="118" spans="22:22">
      <c r="V118" s="1"/>
    </row>
    <row r="119" spans="22:22">
      <c r="V119" s="1"/>
    </row>
    <row r="120" spans="22:22">
      <c r="V120" s="1"/>
    </row>
    <row r="121" spans="22:22">
      <c r="V121" s="1"/>
    </row>
    <row r="122" spans="22:22">
      <c r="V122" s="1"/>
    </row>
    <row r="123" spans="22:22">
      <c r="V123" s="1"/>
    </row>
    <row r="124" spans="22:22">
      <c r="V124" s="1"/>
    </row>
    <row r="125" spans="22:22">
      <c r="V125" s="1"/>
    </row>
    <row r="126" spans="22:22">
      <c r="V126" s="1"/>
    </row>
    <row r="127" spans="22:22">
      <c r="V127" s="1"/>
    </row>
    <row r="128" spans="22:22">
      <c r="V128" s="1"/>
    </row>
    <row r="129" spans="22:22">
      <c r="V129" s="1"/>
    </row>
    <row r="130" spans="22:22">
      <c r="V130" s="1"/>
    </row>
    <row r="131" spans="22:22">
      <c r="V131" s="1"/>
    </row>
    <row r="132" spans="22:22">
      <c r="V132" s="1"/>
    </row>
    <row r="133" spans="22:22">
      <c r="V133" s="1"/>
    </row>
    <row r="134" spans="22:22">
      <c r="V134" s="1"/>
    </row>
    <row r="135" spans="22:22">
      <c r="V135" s="1"/>
    </row>
    <row r="136" spans="22:22">
      <c r="V136" s="1"/>
    </row>
    <row r="137" spans="22:22">
      <c r="V137" s="1"/>
    </row>
    <row r="138" spans="22:22">
      <c r="V138" s="1"/>
    </row>
    <row r="139" spans="22:22">
      <c r="V139" s="1"/>
    </row>
    <row r="140" spans="22:22">
      <c r="V140" s="1"/>
    </row>
    <row r="141" spans="22:22">
      <c r="V141" s="1"/>
    </row>
    <row r="142" spans="22:22">
      <c r="V142" s="1"/>
    </row>
    <row r="143" spans="22:22">
      <c r="V143" s="1"/>
    </row>
    <row r="144" spans="22:22">
      <c r="V144" s="1"/>
    </row>
    <row r="145" spans="22:22">
      <c r="V145" s="1"/>
    </row>
    <row r="146" spans="22:22">
      <c r="V146" s="1"/>
    </row>
    <row r="147" spans="22:22">
      <c r="V147" s="1"/>
    </row>
    <row r="148" spans="22:22">
      <c r="V148" s="1"/>
    </row>
    <row r="149" spans="22:22">
      <c r="V149" s="1"/>
    </row>
    <row r="150" spans="22:22">
      <c r="V150" s="1"/>
    </row>
    <row r="151" spans="22:22">
      <c r="V151" s="1"/>
    </row>
    <row r="152" spans="22:22">
      <c r="V152" s="1"/>
    </row>
    <row r="153" spans="22:22">
      <c r="V153" s="1"/>
    </row>
    <row r="154" spans="22:22">
      <c r="V154" s="1"/>
    </row>
    <row r="155" spans="22:22">
      <c r="V155" s="1"/>
    </row>
    <row r="156" spans="22:22">
      <c r="V156" s="1"/>
    </row>
    <row r="157" spans="22:22">
      <c r="V157" s="1"/>
    </row>
    <row r="158" spans="22:22">
      <c r="V158" s="1"/>
    </row>
    <row r="159" spans="22:22">
      <c r="V159" s="1"/>
    </row>
    <row r="160" spans="22:22">
      <c r="V160" s="1"/>
    </row>
    <row r="161" spans="22:22">
      <c r="V161" s="1"/>
    </row>
    <row r="162" spans="22:22">
      <c r="V162" s="1"/>
    </row>
    <row r="163" spans="22:22">
      <c r="V163" s="1"/>
    </row>
    <row r="164" spans="22:22">
      <c r="V164" s="1"/>
    </row>
    <row r="165" spans="22:22">
      <c r="V165" s="1"/>
    </row>
    <row r="166" spans="22:22">
      <c r="V166" s="1"/>
    </row>
    <row r="167" spans="22:22">
      <c r="V167" s="1"/>
    </row>
    <row r="168" spans="22:22">
      <c r="V168" s="1"/>
    </row>
    <row r="169" spans="22:22">
      <c r="V169" s="1"/>
    </row>
    <row r="170" spans="22:22">
      <c r="V170" s="1"/>
    </row>
    <row r="171" spans="22:22">
      <c r="V171" s="41"/>
    </row>
  </sheetData>
  <sheetProtection selectLockedCells="1" selectUnlockedCells="1"/>
  <mergeCells count="182">
    <mergeCell ref="O11:U11"/>
    <mergeCell ref="Q22:R22"/>
    <mergeCell ref="C50:D50"/>
    <mergeCell ref="E50:U50"/>
    <mergeCell ref="N6:O6"/>
    <mergeCell ref="D28:U28"/>
    <mergeCell ref="D29:U29"/>
    <mergeCell ref="C56:D56"/>
    <mergeCell ref="C48:D48"/>
    <mergeCell ref="D30:U30"/>
    <mergeCell ref="D31:U31"/>
    <mergeCell ref="C32:D32"/>
    <mergeCell ref="E32:U32"/>
    <mergeCell ref="C33:D33"/>
    <mergeCell ref="E33:H33"/>
    <mergeCell ref="K33:M33"/>
    <mergeCell ref="C34:D34"/>
    <mergeCell ref="E34:H34"/>
    <mergeCell ref="F37:H37"/>
    <mergeCell ref="I37:K37"/>
    <mergeCell ref="M12:U17"/>
    <mergeCell ref="M11:N11"/>
    <mergeCell ref="C12:D12"/>
    <mergeCell ref="E12:L12"/>
    <mergeCell ref="B24:B26"/>
    <mergeCell ref="V24:V26"/>
    <mergeCell ref="W24:W26"/>
    <mergeCell ref="F25:H25"/>
    <mergeCell ref="I25:K25"/>
    <mergeCell ref="I18:K18"/>
    <mergeCell ref="E18:G18"/>
    <mergeCell ref="E20:G20"/>
    <mergeCell ref="O18:Q18"/>
    <mergeCell ref="S18:T18"/>
    <mergeCell ref="O20:Q20"/>
    <mergeCell ref="N22:P22"/>
    <mergeCell ref="C13:L17"/>
    <mergeCell ref="V3:V4"/>
    <mergeCell ref="W3:W4"/>
    <mergeCell ref="B5:B10"/>
    <mergeCell ref="C5:D5"/>
    <mergeCell ref="E5:K5"/>
    <mergeCell ref="V5:V17"/>
    <mergeCell ref="C6:D6"/>
    <mergeCell ref="E6:K6"/>
    <mergeCell ref="C7:D7"/>
    <mergeCell ref="E7:K7"/>
    <mergeCell ref="C8:D8"/>
    <mergeCell ref="E8:K8"/>
    <mergeCell ref="C9:D9"/>
    <mergeCell ref="E9:K9"/>
    <mergeCell ref="C11:D11"/>
    <mergeCell ref="E11:K11"/>
    <mergeCell ref="P4:U4"/>
    <mergeCell ref="P2:Q3"/>
    <mergeCell ref="S2:U3"/>
    <mergeCell ref="F2:O4"/>
    <mergeCell ref="P6:Q6"/>
    <mergeCell ref="B11:B23"/>
    <mergeCell ref="V18:V23"/>
    <mergeCell ref="W5:W23"/>
    <mergeCell ref="B27:B38"/>
    <mergeCell ref="B39:B49"/>
    <mergeCell ref="V39:V49"/>
    <mergeCell ref="E42:J42"/>
    <mergeCell ref="E43:J43"/>
    <mergeCell ref="E44:J44"/>
    <mergeCell ref="E45:J45"/>
    <mergeCell ref="L48:M48"/>
    <mergeCell ref="P48:Q48"/>
    <mergeCell ref="T48:U48"/>
    <mergeCell ref="E40:J41"/>
    <mergeCell ref="V27:V38"/>
    <mergeCell ref="E48:F48"/>
    <mergeCell ref="H48:I48"/>
    <mergeCell ref="N37:O37"/>
    <mergeCell ref="K34:M34"/>
    <mergeCell ref="C35:U35"/>
    <mergeCell ref="C45:D45"/>
    <mergeCell ref="M46:N46"/>
    <mergeCell ref="Q46:U46"/>
    <mergeCell ref="O44:P44"/>
    <mergeCell ref="O45:P45"/>
    <mergeCell ref="O46:P46"/>
    <mergeCell ref="C27:E27"/>
    <mergeCell ref="O40:P41"/>
    <mergeCell ref="O42:P42"/>
    <mergeCell ref="O43:P43"/>
    <mergeCell ref="W27:W38"/>
    <mergeCell ref="W39:W49"/>
    <mergeCell ref="O54:Q54"/>
    <mergeCell ref="E54:G54"/>
    <mergeCell ref="V50:V57"/>
    <mergeCell ref="D39:U39"/>
    <mergeCell ref="C40:D41"/>
    <mergeCell ref="K40:L40"/>
    <mergeCell ref="M40:M41"/>
    <mergeCell ref="Q40:U41"/>
    <mergeCell ref="K41:L41"/>
    <mergeCell ref="C42:D42"/>
    <mergeCell ref="C43:D43"/>
    <mergeCell ref="C44:D44"/>
    <mergeCell ref="W50:W57"/>
    <mergeCell ref="E56:F56"/>
    <mergeCell ref="T56:U56"/>
    <mergeCell ref="C51:U53"/>
    <mergeCell ref="V58:V61"/>
    <mergeCell ref="O60:P60"/>
    <mergeCell ref="R60:S60"/>
    <mergeCell ref="F60:G60"/>
    <mergeCell ref="C72:C75"/>
    <mergeCell ref="D72:M72"/>
    <mergeCell ref="N68:P68"/>
    <mergeCell ref="N69:P69"/>
    <mergeCell ref="W58:W61"/>
    <mergeCell ref="B50:B57"/>
    <mergeCell ref="H56:I56"/>
    <mergeCell ref="L56:M56"/>
    <mergeCell ref="P56:Q56"/>
    <mergeCell ref="E58:G58"/>
    <mergeCell ref="O58:Q58"/>
    <mergeCell ref="I60:K60"/>
    <mergeCell ref="B58:B61"/>
    <mergeCell ref="Q71:U71"/>
    <mergeCell ref="N67:P67"/>
    <mergeCell ref="N70:P70"/>
    <mergeCell ref="N71:P71"/>
    <mergeCell ref="F79:I79"/>
    <mergeCell ref="B62:B66"/>
    <mergeCell ref="V62:V66"/>
    <mergeCell ref="Q72:U72"/>
    <mergeCell ref="D73:M73"/>
    <mergeCell ref="N72:P72"/>
    <mergeCell ref="N73:P73"/>
    <mergeCell ref="Q74:U74"/>
    <mergeCell ref="D75:M75"/>
    <mergeCell ref="F77:I77"/>
    <mergeCell ref="F78:I78"/>
    <mergeCell ref="Q75:U75"/>
    <mergeCell ref="N74:P74"/>
    <mergeCell ref="N75:P75"/>
    <mergeCell ref="Q73:U73"/>
    <mergeCell ref="J77:M77"/>
    <mergeCell ref="J78:M78"/>
    <mergeCell ref="W62:W66"/>
    <mergeCell ref="B67:B80"/>
    <mergeCell ref="C67:M67"/>
    <mergeCell ref="Q67:U67"/>
    <mergeCell ref="V67:V80"/>
    <mergeCell ref="W67:W82"/>
    <mergeCell ref="C68:C71"/>
    <mergeCell ref="Q68:U68"/>
    <mergeCell ref="Q69:U69"/>
    <mergeCell ref="D70:M70"/>
    <mergeCell ref="Q70:U70"/>
    <mergeCell ref="D71:M71"/>
    <mergeCell ref="B81:B82"/>
    <mergeCell ref="Q62:S66"/>
    <mergeCell ref="T62:U66"/>
    <mergeCell ref="C77:E77"/>
    <mergeCell ref="V81:V82"/>
    <mergeCell ref="D76:U76"/>
    <mergeCell ref="E64:F64"/>
    <mergeCell ref="M62:P66"/>
    <mergeCell ref="D62:G62"/>
    <mergeCell ref="F80:I80"/>
    <mergeCell ref="D74:M74"/>
    <mergeCell ref="B83:E83"/>
    <mergeCell ref="L83:M83"/>
    <mergeCell ref="T83:W83"/>
    <mergeCell ref="C81:L82"/>
    <mergeCell ref="M81:U82"/>
    <mergeCell ref="Q77:U77"/>
    <mergeCell ref="Q78:U78"/>
    <mergeCell ref="Q79:U79"/>
    <mergeCell ref="Q80:U80"/>
    <mergeCell ref="J79:M79"/>
    <mergeCell ref="J80:M80"/>
    <mergeCell ref="N77:P77"/>
    <mergeCell ref="N78:P78"/>
    <mergeCell ref="N79:P79"/>
    <mergeCell ref="N80:P80"/>
  </mergeCells>
  <printOptions horizontalCentered="1" verticalCentered="1"/>
  <pageMargins left="0" right="0" top="0" bottom="0.39370078740157499" header="0" footer="0.196850393700787"/>
  <pageSetup paperSize="9" scale="56" firstPageNumber="0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50" r:id="rId4" name="CheckBox2">
          <controlPr defaultSize="0" autoLine="0" altText="เครื่องจักรหยุด" r:id="rId5">
            <anchor moveWithCells="1">
              <from>
                <xdr:col>13</xdr:col>
                <xdr:colOff>144780</xdr:colOff>
                <xdr:row>6</xdr:row>
                <xdr:rowOff>213360</xdr:rowOff>
              </from>
              <to>
                <xdr:col>15</xdr:col>
                <xdr:colOff>495300</xdr:colOff>
                <xdr:row>8</xdr:row>
                <xdr:rowOff>106680</xdr:rowOff>
              </to>
            </anchor>
          </controlPr>
        </control>
      </mc:Choice>
      <mc:Fallback>
        <control shapeId="2050" r:id="rId4" name="CheckBox2"/>
      </mc:Fallback>
    </mc:AlternateContent>
    <mc:AlternateContent xmlns:mc="http://schemas.openxmlformats.org/markup-compatibility/2006">
      <mc:Choice Requires="x14">
        <control shapeId="2049" r:id="rId6" name="CheckBox1">
          <controlPr defaultSize="0" autoLine="0" altText="เครื่องจักรหยุด" r:id="rId7">
            <anchor moveWithCells="1">
              <from>
                <xdr:col>13</xdr:col>
                <xdr:colOff>152400</xdr:colOff>
                <xdr:row>5</xdr:row>
                <xdr:rowOff>220980</xdr:rowOff>
              </from>
              <to>
                <xdr:col>14</xdr:col>
                <xdr:colOff>487680</xdr:colOff>
                <xdr:row>7</xdr:row>
                <xdr:rowOff>114300</xdr:rowOff>
              </to>
            </anchor>
          </controlPr>
        </control>
      </mc:Choice>
      <mc:Fallback>
        <control shapeId="2049" r:id="rId6" name="CheckBox1"/>
      </mc:Fallback>
    </mc:AlternateContent>
    <mc:AlternateContent xmlns:mc="http://schemas.openxmlformats.org/markup-compatibility/2006">
      <mc:Choice Requires="x14">
        <control shapeId="2051" r:id="rId8" name="CheckBox3">
          <controlPr defaultSize="0" autoLine="0" r:id="rId9">
            <anchor moveWithCells="1">
              <from>
                <xdr:col>3</xdr:col>
                <xdr:colOff>38100</xdr:colOff>
                <xdr:row>76</xdr:row>
                <xdr:rowOff>22860</xdr:rowOff>
              </from>
              <to>
                <xdr:col>4</xdr:col>
                <xdr:colOff>68580</xdr:colOff>
                <xdr:row>76</xdr:row>
                <xdr:rowOff>289560</xdr:rowOff>
              </to>
            </anchor>
          </controlPr>
        </control>
      </mc:Choice>
      <mc:Fallback>
        <control shapeId="2051" r:id="rId8" name="CheckBox3"/>
      </mc:Fallback>
    </mc:AlternateContent>
    <mc:AlternateContent xmlns:mc="http://schemas.openxmlformats.org/markup-compatibility/2006">
      <mc:Choice Requires="x14">
        <control shapeId="2052" r:id="rId10" name="CheckBox4">
          <controlPr defaultSize="0" autoLine="0" r:id="rId11">
            <anchor moveWithCells="1">
              <from>
                <xdr:col>2</xdr:col>
                <xdr:colOff>259080</xdr:colOff>
                <xdr:row>77</xdr:row>
                <xdr:rowOff>45720</xdr:rowOff>
              </from>
              <to>
                <xdr:col>4</xdr:col>
                <xdr:colOff>91440</xdr:colOff>
                <xdr:row>78</xdr:row>
                <xdr:rowOff>7620</xdr:rowOff>
              </to>
            </anchor>
          </controlPr>
        </control>
      </mc:Choice>
      <mc:Fallback>
        <control shapeId="2052" r:id="rId10" name="CheckBox4"/>
      </mc:Fallback>
    </mc:AlternateContent>
    <mc:AlternateContent xmlns:mc="http://schemas.openxmlformats.org/markup-compatibility/2006">
      <mc:Choice Requires="x14">
        <control shapeId="2053" r:id="rId12" name="CheckBox5">
          <controlPr defaultSize="0" autoLine="0" r:id="rId13">
            <anchor moveWithCells="1">
              <from>
                <xdr:col>2</xdr:col>
                <xdr:colOff>259080</xdr:colOff>
                <xdr:row>78</xdr:row>
                <xdr:rowOff>30480</xdr:rowOff>
              </from>
              <to>
                <xdr:col>4</xdr:col>
                <xdr:colOff>441960</xdr:colOff>
                <xdr:row>78</xdr:row>
                <xdr:rowOff>304800</xdr:rowOff>
              </to>
            </anchor>
          </controlPr>
        </control>
      </mc:Choice>
      <mc:Fallback>
        <control shapeId="2053" r:id="rId12" name="CheckBox5"/>
      </mc:Fallback>
    </mc:AlternateContent>
    <mc:AlternateContent xmlns:mc="http://schemas.openxmlformats.org/markup-compatibility/2006">
      <mc:Choice Requires="x14">
        <control shapeId="2054" r:id="rId14" name="CheckBox6">
          <controlPr defaultSize="0" autoLine="0" r:id="rId15">
            <anchor moveWithCells="1">
              <from>
                <xdr:col>2</xdr:col>
                <xdr:colOff>259080</xdr:colOff>
                <xdr:row>79</xdr:row>
                <xdr:rowOff>0</xdr:rowOff>
              </from>
              <to>
                <xdr:col>4</xdr:col>
                <xdr:colOff>441960</xdr:colOff>
                <xdr:row>79</xdr:row>
                <xdr:rowOff>274320</xdr:rowOff>
              </to>
            </anchor>
          </controlPr>
        </control>
      </mc:Choice>
      <mc:Fallback>
        <control shapeId="2054" r:id="rId14" name="CheckBox6"/>
      </mc:Fallback>
    </mc:AlternateContent>
    <mc:AlternateContent xmlns:mc="http://schemas.openxmlformats.org/markup-compatibility/2006">
      <mc:Choice Requires="x14">
        <control shapeId="2055" r:id="rId16" name="CheckBox7">
          <controlPr defaultSize="0" autoLine="0" r:id="rId17">
            <anchor moveWithCells="1">
              <from>
                <xdr:col>6</xdr:col>
                <xdr:colOff>0</xdr:colOff>
                <xdr:row>76</xdr:row>
                <xdr:rowOff>22860</xdr:rowOff>
              </from>
              <to>
                <xdr:col>8</xdr:col>
                <xdr:colOff>213360</xdr:colOff>
                <xdr:row>76</xdr:row>
                <xdr:rowOff>297180</xdr:rowOff>
              </to>
            </anchor>
          </controlPr>
        </control>
      </mc:Choice>
      <mc:Fallback>
        <control shapeId="2055" r:id="rId16" name="CheckBox7"/>
      </mc:Fallback>
    </mc:AlternateContent>
    <mc:AlternateContent xmlns:mc="http://schemas.openxmlformats.org/markup-compatibility/2006">
      <mc:Choice Requires="x14">
        <control shapeId="2056" r:id="rId18" name="CheckBox8">
          <controlPr defaultSize="0" autoLine="0" r:id="rId19">
            <anchor moveWithCells="1">
              <from>
                <xdr:col>5</xdr:col>
                <xdr:colOff>259080</xdr:colOff>
                <xdr:row>77</xdr:row>
                <xdr:rowOff>45720</xdr:rowOff>
              </from>
              <to>
                <xdr:col>7</xdr:col>
                <xdr:colOff>91440</xdr:colOff>
                <xdr:row>78</xdr:row>
                <xdr:rowOff>7620</xdr:rowOff>
              </to>
            </anchor>
          </controlPr>
        </control>
      </mc:Choice>
      <mc:Fallback>
        <control shapeId="2056" r:id="rId18" name="CheckBox8"/>
      </mc:Fallback>
    </mc:AlternateContent>
    <mc:AlternateContent xmlns:mc="http://schemas.openxmlformats.org/markup-compatibility/2006">
      <mc:Choice Requires="x14">
        <control shapeId="2057" r:id="rId20" name="CheckBox9">
          <controlPr defaultSize="0" autoLine="0" r:id="rId21">
            <anchor moveWithCells="1">
              <from>
                <xdr:col>5</xdr:col>
                <xdr:colOff>259080</xdr:colOff>
                <xdr:row>78</xdr:row>
                <xdr:rowOff>30480</xdr:rowOff>
              </from>
              <to>
                <xdr:col>8</xdr:col>
                <xdr:colOff>335280</xdr:colOff>
                <xdr:row>78</xdr:row>
                <xdr:rowOff>304800</xdr:rowOff>
              </to>
            </anchor>
          </controlPr>
        </control>
      </mc:Choice>
      <mc:Fallback>
        <control shapeId="2057" r:id="rId20" name="CheckBox9"/>
      </mc:Fallback>
    </mc:AlternateContent>
    <mc:AlternateContent xmlns:mc="http://schemas.openxmlformats.org/markup-compatibility/2006">
      <mc:Choice Requires="x14">
        <control shapeId="2058" r:id="rId22" name="CheckBox10">
          <controlPr defaultSize="0" autoLine="0" r:id="rId23">
            <anchor moveWithCells="1">
              <from>
                <xdr:col>10</xdr:col>
                <xdr:colOff>266700</xdr:colOff>
                <xdr:row>76</xdr:row>
                <xdr:rowOff>22860</xdr:rowOff>
              </from>
              <to>
                <xdr:col>12</xdr:col>
                <xdr:colOff>99060</xdr:colOff>
                <xdr:row>76</xdr:row>
                <xdr:rowOff>297180</xdr:rowOff>
              </to>
            </anchor>
          </controlPr>
        </control>
      </mc:Choice>
      <mc:Fallback>
        <control shapeId="2058" r:id="rId22" name="CheckBox10"/>
      </mc:Fallback>
    </mc:AlternateContent>
    <mc:AlternateContent xmlns:mc="http://schemas.openxmlformats.org/markup-compatibility/2006">
      <mc:Choice Requires="x14">
        <control shapeId="2059" r:id="rId24" name="CheckBox11">
          <controlPr defaultSize="0" autoLine="0" r:id="rId21">
            <anchor moveWithCells="1">
              <from>
                <xdr:col>10</xdr:col>
                <xdr:colOff>60960</xdr:colOff>
                <xdr:row>77</xdr:row>
                <xdr:rowOff>45720</xdr:rowOff>
              </from>
              <to>
                <xdr:col>12</xdr:col>
                <xdr:colOff>259080</xdr:colOff>
                <xdr:row>78</xdr:row>
                <xdr:rowOff>7620</xdr:rowOff>
              </to>
            </anchor>
          </controlPr>
        </control>
      </mc:Choice>
      <mc:Fallback>
        <control shapeId="2059" r:id="rId24" name="CheckBox11"/>
      </mc:Fallback>
    </mc:AlternateContent>
    <mc:AlternateContent xmlns:mc="http://schemas.openxmlformats.org/markup-compatibility/2006">
      <mc:Choice Requires="x14">
        <control shapeId="2060" r:id="rId25" name="CheckBox12">
          <controlPr defaultSize="0" autoLine="0" r:id="rId26">
            <anchor moveWithCells="1">
              <from>
                <xdr:col>10</xdr:col>
                <xdr:colOff>60960</xdr:colOff>
                <xdr:row>78</xdr:row>
                <xdr:rowOff>30480</xdr:rowOff>
              </from>
              <to>
                <xdr:col>12</xdr:col>
                <xdr:colOff>259080</xdr:colOff>
                <xdr:row>79</xdr:row>
                <xdr:rowOff>7620</xdr:rowOff>
              </to>
            </anchor>
          </controlPr>
        </control>
      </mc:Choice>
      <mc:Fallback>
        <control shapeId="2060" r:id="rId25" name="CheckBox12"/>
      </mc:Fallback>
    </mc:AlternateContent>
    <mc:AlternateContent xmlns:mc="http://schemas.openxmlformats.org/markup-compatibility/2006">
      <mc:Choice Requires="x14">
        <control shapeId="2061" r:id="rId27" name="CheckBox13">
          <controlPr defaultSize="0" autoLine="0" r:id="rId28">
            <anchor moveWithCells="1">
              <from>
                <xdr:col>14</xdr:col>
                <xdr:colOff>7620</xdr:colOff>
                <xdr:row>76</xdr:row>
                <xdr:rowOff>22860</xdr:rowOff>
              </from>
              <to>
                <xdr:col>15</xdr:col>
                <xdr:colOff>335280</xdr:colOff>
                <xdr:row>77</xdr:row>
                <xdr:rowOff>0</xdr:rowOff>
              </to>
            </anchor>
          </controlPr>
        </control>
      </mc:Choice>
      <mc:Fallback>
        <control shapeId="2061" r:id="rId27" name="CheckBox13"/>
      </mc:Fallback>
    </mc:AlternateContent>
    <mc:AlternateContent xmlns:mc="http://schemas.openxmlformats.org/markup-compatibility/2006">
      <mc:Choice Requires="x14">
        <control shapeId="2062" r:id="rId29" name="CheckBox14">
          <controlPr defaultSize="0" autoLine="0" r:id="rId30">
            <anchor moveWithCells="1">
              <from>
                <xdr:col>13</xdr:col>
                <xdr:colOff>259080</xdr:colOff>
                <xdr:row>77</xdr:row>
                <xdr:rowOff>45720</xdr:rowOff>
              </from>
              <to>
                <xdr:col>15</xdr:col>
                <xdr:colOff>457200</xdr:colOff>
                <xdr:row>78</xdr:row>
                <xdr:rowOff>22860</xdr:rowOff>
              </to>
            </anchor>
          </controlPr>
        </control>
      </mc:Choice>
      <mc:Fallback>
        <control shapeId="2062" r:id="rId29" name="CheckBox14"/>
      </mc:Fallback>
    </mc:AlternateContent>
    <mc:AlternateContent xmlns:mc="http://schemas.openxmlformats.org/markup-compatibility/2006">
      <mc:Choice Requires="x14">
        <control shapeId="2063" r:id="rId31" name="CheckBox15">
          <controlPr defaultSize="0" autoLine="0" r:id="rId26">
            <anchor moveWithCells="1">
              <from>
                <xdr:col>13</xdr:col>
                <xdr:colOff>259080</xdr:colOff>
                <xdr:row>78</xdr:row>
                <xdr:rowOff>30480</xdr:rowOff>
              </from>
              <to>
                <xdr:col>15</xdr:col>
                <xdr:colOff>457200</xdr:colOff>
                <xdr:row>79</xdr:row>
                <xdr:rowOff>7620</xdr:rowOff>
              </to>
            </anchor>
          </controlPr>
        </control>
      </mc:Choice>
      <mc:Fallback>
        <control shapeId="2063" r:id="rId31" name="CheckBox15"/>
      </mc:Fallback>
    </mc:AlternateContent>
    <mc:AlternateContent xmlns:mc="http://schemas.openxmlformats.org/markup-compatibility/2006">
      <mc:Choice Requires="x14">
        <control shapeId="2064" r:id="rId32" name="CheckBox16">
          <controlPr defaultSize="0" autoLine="0" r:id="rId33">
            <anchor moveWithCells="1">
              <from>
                <xdr:col>17</xdr:col>
                <xdr:colOff>7620</xdr:colOff>
                <xdr:row>76</xdr:row>
                <xdr:rowOff>22860</xdr:rowOff>
              </from>
              <to>
                <xdr:col>19</xdr:col>
                <xdr:colOff>213360</xdr:colOff>
                <xdr:row>77</xdr:row>
                <xdr:rowOff>0</xdr:rowOff>
              </to>
            </anchor>
          </controlPr>
        </control>
      </mc:Choice>
      <mc:Fallback>
        <control shapeId="2064" r:id="rId32" name="CheckBox16"/>
      </mc:Fallback>
    </mc:AlternateContent>
    <mc:AlternateContent xmlns:mc="http://schemas.openxmlformats.org/markup-compatibility/2006">
      <mc:Choice Requires="x14">
        <control shapeId="2065" r:id="rId34" name="CheckBox17">
          <controlPr defaultSize="0" autoLine="0" r:id="rId35">
            <anchor moveWithCells="1">
              <from>
                <xdr:col>16</xdr:col>
                <xdr:colOff>259080</xdr:colOff>
                <xdr:row>77</xdr:row>
                <xdr:rowOff>45720</xdr:rowOff>
              </from>
              <to>
                <xdr:col>19</xdr:col>
                <xdr:colOff>335280</xdr:colOff>
                <xdr:row>78</xdr:row>
                <xdr:rowOff>22860</xdr:rowOff>
              </to>
            </anchor>
          </controlPr>
        </control>
      </mc:Choice>
      <mc:Fallback>
        <control shapeId="2065" r:id="rId34" name="CheckBox17"/>
      </mc:Fallback>
    </mc:AlternateContent>
    <mc:AlternateContent xmlns:mc="http://schemas.openxmlformats.org/markup-compatibility/2006">
      <mc:Choice Requires="x14">
        <control shapeId="2066" r:id="rId36" name="CheckBox18">
          <controlPr defaultSize="0" autoLine="0" r:id="rId37">
            <anchor moveWithCells="1">
              <from>
                <xdr:col>16</xdr:col>
                <xdr:colOff>259080</xdr:colOff>
                <xdr:row>78</xdr:row>
                <xdr:rowOff>30480</xdr:rowOff>
              </from>
              <to>
                <xdr:col>19</xdr:col>
                <xdr:colOff>335280</xdr:colOff>
                <xdr:row>79</xdr:row>
                <xdr:rowOff>7620</xdr:rowOff>
              </to>
            </anchor>
          </controlPr>
        </control>
      </mc:Choice>
      <mc:Fallback>
        <control shapeId="2066" r:id="rId36" name="CheckBox18"/>
      </mc:Fallback>
    </mc:AlternateContent>
    <mc:AlternateContent xmlns:mc="http://schemas.openxmlformats.org/markup-compatibility/2006">
      <mc:Choice Requires="x14">
        <control shapeId="2067" r:id="rId38" name="CheckBox19">
          <controlPr defaultSize="0" autoLine="0" r:id="rId39">
            <anchor moveWithCells="1">
              <from>
                <xdr:col>3</xdr:col>
                <xdr:colOff>99060</xdr:colOff>
                <xdr:row>65</xdr:row>
                <xdr:rowOff>7620</xdr:rowOff>
              </from>
              <to>
                <xdr:col>5</xdr:col>
                <xdr:colOff>175260</xdr:colOff>
                <xdr:row>65</xdr:row>
                <xdr:rowOff>304800</xdr:rowOff>
              </to>
            </anchor>
          </controlPr>
        </control>
      </mc:Choice>
      <mc:Fallback>
        <control shapeId="2067" r:id="rId38" name="CheckBox19"/>
      </mc:Fallback>
    </mc:AlternateContent>
    <mc:AlternateContent xmlns:mc="http://schemas.openxmlformats.org/markup-compatibility/2006">
      <mc:Choice Requires="x14">
        <control shapeId="2068" r:id="rId40" name="CheckBox20">
          <controlPr defaultSize="0" autoLine="0" r:id="rId41">
            <anchor moveWithCells="1">
              <from>
                <xdr:col>6</xdr:col>
                <xdr:colOff>411480</xdr:colOff>
                <xdr:row>65</xdr:row>
                <xdr:rowOff>7620</xdr:rowOff>
              </from>
              <to>
                <xdr:col>10</xdr:col>
                <xdr:colOff>495300</xdr:colOff>
                <xdr:row>65</xdr:row>
                <xdr:rowOff>304800</xdr:rowOff>
              </to>
            </anchor>
          </controlPr>
        </control>
      </mc:Choice>
      <mc:Fallback>
        <control shapeId="2068" r:id="rId40" name="CheckBox20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PCSR F.4</vt:lpstr>
      <vt:lpstr>'PCSR F.4'!Print_Area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Samathi Thariya</dc:creator>
  <cp:lastModifiedBy>Film Nutthanun</cp:lastModifiedBy>
  <cp:lastPrinted>2020-05-29T05:29:36Z</cp:lastPrinted>
  <dcterms:created xsi:type="dcterms:W3CDTF">2019-08-02T05:09:27Z</dcterms:created>
  <dcterms:modified xsi:type="dcterms:W3CDTF">2026-09-17T06:36:44Z</dcterms:modified>
</cp:coreProperties>
</file>